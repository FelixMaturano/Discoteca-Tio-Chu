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a de Producto (Backlog)" sheetId="1" r:id="rId4"/>
    <sheet state="visible" name="Plan de Sprints" sheetId="2" r:id="rId5"/>
    <sheet state="visible" name="Sprint Backlog" sheetId="3" r:id="rId6"/>
  </sheets>
  <definedNames/>
  <calcPr/>
  <extLst>
    <ext uri="GoogleSheetsCustomDataVersion2">
      <go:sheetsCustomData xmlns:go="http://customooxmlschemas.google.com/" r:id="rId7" roundtripDataChecksum="qwX1td41PwZ65p6CRkZUJnTWlBheqw51ekXLimkh0EQ="/>
    </ext>
  </extLst>
</workbook>
</file>

<file path=xl/sharedStrings.xml><?xml version="1.0" encoding="utf-8"?>
<sst xmlns="http://schemas.openxmlformats.org/spreadsheetml/2006/main" count="320" uniqueCount="151">
  <si>
    <t>Desarrollo ágil: Pila de Producto (Product Backlog) — consolidada en 4 sprints por fases operativas y dependencias</t>
  </si>
  <si>
    <t>Metodologías ágiles: Lista de tareas de la iteración (Sprint Backlog)</t>
  </si>
  <si>
    <t>Plan de Sprints por fases operativas y dependencias (4 sprints)</t>
  </si>
  <si>
    <t>Historias de cada sprint en orden de ejecución. Tareas, voluntarios y horas los define el equipo en la Sprint Planning (según la plantilla); las columnas de burn-down Día 1–15 se agregan al iniciar cada sprint.</t>
  </si>
  <si>
    <t>Orden de ejecución</t>
  </si>
  <si>
    <t>Sprint</t>
  </si>
  <si>
    <t>Identificador (ID) de item de product backlog</t>
  </si>
  <si>
    <t>Identificador (ID) de la Historia</t>
  </si>
  <si>
    <t>Enunciado de la Historia</t>
  </si>
  <si>
    <t>Enunciado del item de Product Backlog</t>
  </si>
  <si>
    <t>Alias</t>
  </si>
  <si>
    <t>Estado</t>
  </si>
  <si>
    <t>Tarea</t>
  </si>
  <si>
    <t>Puntos Valor</t>
  </si>
  <si>
    <t>Dueño / Voluntario</t>
  </si>
  <si>
    <t>Puntos Historia</t>
  </si>
  <si>
    <t>Estatus</t>
  </si>
  <si>
    <t>Fase operativa y objetivo</t>
  </si>
  <si>
    <t>ROI</t>
  </si>
  <si>
    <t>Horas estimadas totales</t>
  </si>
  <si>
    <t>Iteración (Sprint)</t>
  </si>
  <si>
    <t>Prioridad</t>
  </si>
  <si>
    <t>N° Historias</t>
  </si>
  <si>
    <t>Depende de</t>
  </si>
  <si>
    <t>Comentarios</t>
  </si>
  <si>
    <t>ROI del Sprint</t>
  </si>
  <si>
    <t>h2</t>
  </si>
  <si>
    <t>Sprint 1</t>
  </si>
  <si>
    <t>Como Administrador (Don Ludo), quiero abrir una nueva sesión nocturna seleccionando la fecha con detección automática del día de la semana, para habilitar las operaciones de venta y arqueo de la fecha.</t>
  </si>
  <si>
    <t>Apertura de Sesión</t>
  </si>
  <si>
    <t>Completada</t>
  </si>
  <si>
    <t>Datos maestros, apertura de sesión e inventario inicial: Cargar personal y stock de bodega, abrir una nueva noche y fijar el stock de apertura de cada barra.</t>
  </si>
  <si>
    <t>ALTA</t>
  </si>
  <si>
    <t>[Tareas por definir en Sprint Planning]</t>
  </si>
  <si>
    <t>Habilitador principal para iniciar toda la operación de la noche.</t>
  </si>
  <si>
    <t>Por iniciar</t>
  </si>
  <si>
    <t>h11</t>
  </si>
  <si>
    <t>Como Administrador, quiero modificar el stock de bodega con botones de pasos (-10, -1, +1, +10) o edición directa con guardado automático, para registrar entradas y mermas en segundos sin recargar la página.</t>
  </si>
  <si>
    <t>Ajuste Stock Bodega</t>
  </si>
  <si>
    <t>MEDIA</t>
  </si>
  <si>
    <t>h12</t>
  </si>
  <si>
    <t>Interfaz ágil para ajustar mermas o ingresos rápidos de stock.</t>
  </si>
  <si>
    <t>Sprint 2</t>
  </si>
  <si>
    <t>Como Bartender o Administrador, quiero registrar las cajas y botellas que se suben de la bodega central a cada barra al inicio del turno, para fijar el stock de apertura por punto de despacho.</t>
  </si>
  <si>
    <t>Despacho a Barras</t>
  </si>
  <si>
    <t>Configuración del turno y ventas en vivo: Precargar la nómina del día, registrar cobros por QR y tarjeta y calcular las ventas reales de cada barra con el conteo de cierre.</t>
  </si>
  <si>
    <t>h15</t>
  </si>
  <si>
    <t>Control preciso de transferencia interna de insumos bodega-barra.</t>
  </si>
  <si>
    <t>Como Administrador (Don Ludo), quiero gestionar la nómina de trabajadores con su nombre, celular, cargo normalizado (MESERO, BARTENDER, SEGURIDAD, LIMPIEZA) y jornal habitual, para tener la plantilla centralizada.</t>
  </si>
  <si>
    <t>Maestro de Personal</t>
  </si>
  <si>
    <t>Mantenimiento centralizado de la base de datos de trabajadores.</t>
  </si>
  <si>
    <t>Sprint 3</t>
  </si>
  <si>
    <t>h14</t>
  </si>
  <si>
    <t>Liquidación, pagos y cierres operativos: Liquidar cada turno, pagar al personal (incluidos jornales atrasados) y dejar los saldos finales listos como stock de la noche siguiente.</t>
  </si>
  <si>
    <t>Como Cajero o Mesero, quiero registrar cobros por QR seleccionando Yasta o Yape con sus logos oficiales e indicando el monto, para registrar transferencias bancarias de forma intuitiva.</t>
  </si>
  <si>
    <t>Cobros QR</t>
  </si>
  <si>
    <t>Agiliza el registro visual de cobros digitales en barra y caja.</t>
  </si>
  <si>
    <t>h13</t>
  </si>
  <si>
    <t>Como Administrador (Don Ludo), quiero que al ingresar el voucher de tarjeta el sistema calcule la retención de la comisión del banco y el monto neto real que ingresa a la cuenta bancaria, para conocer la liquidez real.</t>
  </si>
  <si>
    <t>Retención de Tarjetas</t>
  </si>
  <si>
    <t>Proporciona la cifra real neta en banco deduciendo comisiones.</t>
  </si>
  <si>
    <t>Sprint 4</t>
  </si>
  <si>
    <t>h6</t>
  </si>
  <si>
    <t>Como Administrador, quiero que al abrir la noche se cargue automáticamente la nómina del personal programado para ese día con su jornal pactado, para liquidar los pagos del turno sin reescribir la lista.</t>
  </si>
  <si>
    <t>Carga Nómina Diaria</t>
  </si>
  <si>
    <t>Planificada</t>
  </si>
  <si>
    <t>Balance final, arqueo y dashboard: Balance ingresos vs egresos, arqueo del efectivo físico, dashboard ejecutivo, sellado seguro de la noche y vista táctil de bodega (diferible).</t>
  </si>
  <si>
    <t>h4</t>
  </si>
  <si>
    <t>Precarga el equipo de trabajo evitando reescritura de planillas.</t>
  </si>
  <si>
    <t>Como Administrador, quiero registrar el conteo de botellas sobrantes al final de la noche en cada barra para que el sistema calcule automáticamente los combos vendidos y botellas extra, para determinar las ventas reales.</t>
  </si>
  <si>
    <t>Conteo Botellas/Combos</t>
  </si>
  <si>
    <t>Requiere lógica de conversión de consumos frente a inventario físico.</t>
  </si>
  <si>
    <t>Total</t>
  </si>
  <si>
    <t>h5</t>
  </si>
  <si>
    <t>Como Administrador (Don Ludo), quiero ver en un solo cuadro el total vendido en bebidas, lo cobrado por QR, lo tarjeteado y el efectivo neto que debe entregar cada bartender, para liquidar el turno sin diferencias.</t>
  </si>
  <si>
    <t>Liquidación por Turno</t>
  </si>
  <si>
    <t>Orden de ejecución y dependencias</t>
  </si>
  <si>
    <t>Vital para conciliación rápida y prevención de faltantes al cierre de caja.</t>
  </si>
  <si>
    <t>h3</t>
  </si>
  <si>
    <t>Como Encargado de Barra, quiero sincronizar el inventario de apertura copiando automáticamente los saldos finales de la noche anterior, para no tener que recontar ni digitar de nuevo el stock base.</t>
  </si>
  <si>
    <t>Auxiliares: IDs de las dependencias (única fuente de 'Depende de')</t>
  </si>
  <si>
    <t>Stock Inicial Barra</t>
  </si>
  <si>
    <t>Orden</t>
  </si>
  <si>
    <t>ID</t>
  </si>
  <si>
    <t>Sprint anterior (5 sprints)</t>
  </si>
  <si>
    <t>Sprint nuevo</t>
  </si>
  <si>
    <t>Motivo del orden</t>
  </si>
  <si>
    <t>Validación de dependencias</t>
  </si>
  <si>
    <t>Dep. 1</t>
  </si>
  <si>
    <t>Dep. 2</t>
  </si>
  <si>
    <t>Dep. 3</t>
  </si>
  <si>
    <t>Dep. 4</t>
  </si>
  <si>
    <t>Dep. 5</t>
  </si>
  <si>
    <t>Dep. 6</t>
  </si>
  <si>
    <t>Automatiza la carga inicial evitando recuentos manuales innecesarios.</t>
  </si>
  <si>
    <t>h16</t>
  </si>
  <si>
    <t>Como Administrador (Don Ludo), quiero marcar como pagado o editar el jornal de un trabajador con recálculo matemático inmediato de la planilla en el DOM, para pagar al personal en efectivo con rapidez.</t>
  </si>
  <si>
    <t>Pago Rápido Personal</t>
  </si>
  <si>
    <t>h17</t>
  </si>
  <si>
    <t>Agiliza el pago de sueldos en efectivo al finalizar la jornada.</t>
  </si>
  <si>
    <t>Como Administrador, quiero pagar el jornal atrasado a un trabajador pulsando 'Pagar Jornal' con liquidación asincrónica instantánea, para saldar deudas de noches pasadas sin recargar la página.</t>
  </si>
  <si>
    <t>Pago Deudas Atrasadas</t>
  </si>
  <si>
    <t>BAJA</t>
  </si>
  <si>
    <t>Gestión asíncrona de liquidación de pasivos de fechas anteriores.</t>
  </si>
  <si>
    <t>h7</t>
  </si>
  <si>
    <t>Como Administrador (Don Ludo), quiero visualizar en una sola pantalla sin scroll el balance total de ingresos (tarjetas, QRs, efectivo) frente a egresos (pagos y gastos), para hacer el arqueo en 10 segundos.</t>
  </si>
  <si>
    <t>Balance Express</t>
  </si>
  <si>
    <t>Control financiero inmediato para Don Ludo con alto impacto y baja complejidad.</t>
  </si>
  <si>
    <t>h8</t>
  </si>
  <si>
    <t>Como Administrador, quiero que el sistema calcule exactamente el dinero físico neto que debe haber en la caja fuerte o mano (Plata a Favor o Faltante), para comprobar el dinero antes de retirarme.</t>
  </si>
  <si>
    <t>Arqueo Efectivo Físico</t>
  </si>
  <si>
    <t>Verificación física directa previa a la retirada del administrador.</t>
  </si>
  <si>
    <t>h9</t>
  </si>
  <si>
    <t>Como Administrador (Don Ludo), quiero consultar un Dashboard con los 4 indicadores esenciales (Venta en Barras, Tarjetas Neto Banco, Cobros QR y Efectivo en Caja) alimentados 100% por datos reales, para conocer la marcha del negocio de un vistazo.</t>
  </si>
  <si>
    <t>Dashboard Ejecutivo</t>
  </si>
  <si>
    <t>Habilita toda la operación de la noche: sin sesión abierta no hay stock de turno, cobros, ventas ni arqueo.</t>
  </si>
  <si>
    <t>Visualización ejecutiva en tiempo real del desempeño de la discoteca.</t>
  </si>
  <si>
    <t>h18</t>
  </si>
  <si>
    <t>Como Administrador (Don Ludo), quiero sellar la noche con un botón de cierre seguro que bloquee ediciones accidentales, con facultad de reabrirla si se requiere corregir algún dato.</t>
  </si>
  <si>
    <t>Cierre Seguro de Noche</t>
  </si>
  <si>
    <t>Asegura la integridad de los datos financieros ante modificaciones posteriores.</t>
  </si>
  <si>
    <t>h10</t>
  </si>
  <si>
    <t>Como Administrador de Bodega, quiero alternar entre una vista de Tabla Ejecutiva y una Cuadrícula de Tarjetas táctiles, para agilizar tanto el conteo rápido de más de 30 marcas como la auditoría visual.</t>
  </si>
  <si>
    <t>Vista Táctil Bodega</t>
  </si>
  <si>
    <t>Componente UI dual para auditoría táctil y rápida en bodega.</t>
  </si>
  <si>
    <t>Estado sigue el instructivo de la plantilla PMO Informática: 'Planificada' = asignada a un sprint y sin iniciar. Puntos, prioridad y comentarios son los del archivo v3; el color de cada fila indica su sprint.</t>
  </si>
  <si>
    <t>Dato maestro del stock de bodega; h12 y h10 parten de él.</t>
  </si>
  <si>
    <t>Fija el stock de apertura de cada barra con lo que sale de bodega; h4 y h3 parten de este dato. Cubre también el stock de apertura de la primera noche.</t>
  </si>
  <si>
    <t>Dato maestro de trabajadores; h6, h16 y h17 lo usan.</t>
  </si>
  <si>
    <t>Registro de cobros QR durante la noche; sus montos alimentan h5, h7 y h9.</t>
  </si>
  <si>
    <t>Neto real de tarjetas tras la comisión del banco; alimenta h5, h7 y h9.</t>
  </si>
  <si>
    <t>Carga al abrir la noche el personal programado desde el maestro de personal; h5 y h16 la necesitan.</t>
  </si>
  <si>
    <t>Convierte stock de apertura y conteo final en combos y botellas vendidas (ventas reales). Necesita h12 para conocer el stock de apertura de cada barra.</t>
  </si>
  <si>
    <t>Cruza lo vendido (h4) con lo cobrado por QR y tarjeta para obtener el efectivo neto por bartender; el bartender sale de la nómina del día (h6).</t>
  </si>
  <si>
    <t>Copia como stock de apertura de la noche siguiente los saldos finales que produce h4; por eso va después de h4.</t>
  </si>
  <si>
    <t>Pagar o editar el jornal requiere la nómina del día (h6) y el maestro (h15); estos pagos son egresos para h7 y h8.</t>
  </si>
  <si>
    <t>Salda jornales de noches pasadas reutilizando el flujo de pago de h16; también es egreso para h7 y h8.</t>
  </si>
  <si>
    <t>Sprint 5</t>
  </si>
  <si>
    <t>El balance ingresos vs egresos solo es real con tarjetas, QR, ventas, efectivo liquidado y pagos al personal ya registrados.</t>
  </si>
  <si>
    <t>Necesita el efectivo liquidado por turno (h5) y los pagos en efectivo al personal (h16, h17).</t>
  </si>
  <si>
    <t>Sus 4 indicadores (barras, tarjetas neto, QR, efectivo en caja) salen de estas historias; el efectivo en caja sale del arqueo (h8).</t>
  </si>
  <si>
    <t>Se sella la noche al final del flujo, cuando ya existen los datos que se quieren proteger (balance y arqueo).</t>
  </si>
  <si>
    <t>Vista alternativa para contar 30+ marcas en bodega. Ninguna historia depende de ella; va al final por su bajo ROI (0.63) y prioridad BAJA: si la velocidad no alcanza, se difiere sin afectar nada.</t>
  </si>
  <si>
    <t>Notas y supuestos:</t>
  </si>
  <si>
    <t>1) Las dependencias se dedujeron del texto de cada historia; conviene confirmarlas con el equipo y con Don Ludo. Se editan en las columnas auxiliares L:Q y la validación se recalcula sola.</t>
  </si>
  <si>
    <t>2) Cambio frente a la versión de 5 sprints: se fusionaron maestros+apertura con inventario inicial (Sprint 1) y configuración del turno con ventas en vivo (Sprint 2); liquidación y pagos quedan juntos (Sprint 3) y el balance final cierra el plan (Sprint 4). No se movió ninguna historia por delante de una dependencia.</t>
  </si>
  <si>
    <t>3) Capacidad supuesta: ~20 puntos de historia por sprint (supuesto, no dato). La carga queda en 18, 20, 21 y 20; ajustar a la velocidad real. Si no alcanza, h10 (Vista Táctil Bodega) va al final de Sprint 4 y se difiere primero, porque nadie depende de ella.</t>
  </si>
  <si>
    <t>4) h3 (Stock Inicial Barra) copia los saldos finales que produce h4 (conteo final), por eso va después de h4 (Sprint 3). El stock de apertura de la primera noche se fija con h12 (Despacho a Barras, Sprint 1).</t>
  </si>
  <si>
    <t>5) h18 (Cierre Seguro de Noche) va después del balance (h7) y el arqueo (h8), para que el sellado proteja datos que ya existen.</t>
  </si>
  <si>
    <t>6) Dependencias sin historia que las cubra (no se resuelven reordenando): (a) h7 y h8 hablan de 'gastos' como egreso, pero ninguna historia los registra; (b) h4 necesita definir productos y combos, y h11 un catálogo de marcas, sin historia propia; (c) no hay historia de roles/acceso (Administrador, Bartender, Cajero). Conviene crear historias nuevas, idealmente en Sprint 1.</t>
  </si>
  <si>
    <t>7) ROI = Puntos Valor ÷ Puntos Historia (misma fórmula de v3). El ROI, los puntos y la prioridad se conservaron; dentro de cada sprint el orden respeta primero las dependencias y luego el ROI.</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</si>
</sst>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1F4E78"/>
      <name val="Calibri"/>
    </font>
    <font>
      <sz val="9.0"/>
      <color rgb="FF7F7F7F"/>
      <name val="Calibri"/>
    </font>
    <font>
      <b/>
      <sz val="11.0"/>
      <color rgb="FFFFFFFF"/>
      <name val="Calibri"/>
    </font>
    <font>
      <sz val="10.0"/>
      <color theme="1"/>
      <name val="Calibri"/>
    </font>
    <font>
      <b/>
      <sz val="10.0"/>
      <color theme="1"/>
      <name val="Calibri"/>
    </font>
    <font/>
    <font>
      <b/>
      <sz val="12.0"/>
      <color rgb="FF1F4E78"/>
      <name val="Calibri"/>
    </font>
    <font>
      <b/>
      <sz val="9.0"/>
      <color rgb="FF7F7F7F"/>
      <name val="Calibri"/>
    </font>
    <font>
      <b/>
      <sz val="11.0"/>
      <color rgb="FF1E7B34"/>
      <name val="Calibri"/>
    </font>
  </fonts>
  <fills count="8">
    <fill>
      <patternFill patternType="none"/>
    </fill>
    <fill>
      <patternFill patternType="lightGray"/>
    </fill>
    <fill>
      <patternFill patternType="solid">
        <fgColor rgb="FF1F4E78"/>
        <bgColor rgb="FF1F4E78"/>
      </patternFill>
    </fill>
    <fill>
      <patternFill patternType="solid">
        <fgColor rgb="FFEAF2F8"/>
        <bgColor rgb="FFEAF2F8"/>
      </patternFill>
    </fill>
    <fill>
      <patternFill patternType="solid">
        <fgColor rgb="FF2E75B6"/>
        <bgColor rgb="FF2E75B6"/>
      </patternFill>
    </fill>
    <fill>
      <patternFill patternType="solid">
        <fgColor rgb="FFEAF7EE"/>
        <bgColor rgb="FFEAF7EE"/>
      </patternFill>
    </fill>
    <fill>
      <patternFill patternType="solid">
        <fgColor rgb="FFFFF6E5"/>
        <bgColor rgb="FFFFF6E5"/>
      </patternFill>
    </fill>
    <fill>
      <patternFill patternType="solid">
        <fgColor rgb="FFF4ECF7"/>
        <bgColor rgb="FFF4ECF7"/>
      </patternFill>
    </fill>
  </fills>
  <borders count="8">
    <border/>
    <border>
      <left style="thin">
        <color rgb="FFD0D7DE"/>
      </left>
      <right style="thin">
        <color rgb="FFD0D7DE"/>
      </right>
      <top style="thin">
        <color rgb="FFD0D7DE"/>
      </top>
      <bottom style="thin">
        <color rgb="FFD0D7DE"/>
      </bottom>
    </border>
    <border>
      <left/>
      <top/>
      <bottom/>
    </border>
    <border>
      <top/>
      <bottom/>
    </border>
    <border>
      <right/>
      <top/>
      <bottom/>
    </border>
    <border>
      <left style="thin">
        <color rgb="FFD0D7DE"/>
      </left>
      <top style="thin">
        <color rgb="FFD0D7DE"/>
      </top>
      <bottom style="thin">
        <color rgb="FFD0D7DE"/>
      </bottom>
    </border>
    <border>
      <top style="thin">
        <color rgb="FFD0D7DE"/>
      </top>
      <bottom style="thin">
        <color rgb="FFD0D7DE"/>
      </bottom>
    </border>
    <border>
      <right style="thin">
        <color rgb="FFD0D7DE"/>
      </right>
      <top style="thin">
        <color rgb="FFD0D7DE"/>
      </top>
      <bottom style="thin">
        <color rgb="FFD0D7DE"/>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top" wrapText="1"/>
    </xf>
    <xf borderId="1" fillId="2" fontId="3" numFmtId="0" xfId="0" applyAlignment="1" applyBorder="1" applyFill="1" applyFont="1">
      <alignment horizontal="center" shrinkToFit="0" vertical="center" wrapText="1"/>
    </xf>
    <xf borderId="1" fillId="3" fontId="4" numFmtId="0" xfId="0" applyAlignment="1" applyBorder="1" applyFill="1" applyFont="1">
      <alignment horizontal="center" shrinkToFit="0" vertical="center" wrapText="1"/>
    </xf>
    <xf borderId="1" fillId="3" fontId="4" numFmtId="0" xfId="0" applyAlignment="1" applyBorder="1" applyFill="1" applyFont="1">
      <alignment horizontal="left" shrinkToFit="0" vertical="center" wrapText="1"/>
    </xf>
    <xf borderId="1" fillId="3" fontId="5" numFmtId="0" xfId="0" applyAlignment="1" applyBorder="1" applyFill="1" applyFont="1">
      <alignment horizontal="center" shrinkToFit="0" vertical="center" wrapText="1"/>
    </xf>
    <xf borderId="1" fillId="3" fontId="4" numFmtId="0" xfId="0" applyAlignment="1" applyBorder="1" applyFill="1" applyFont="1">
      <alignment horizontal="center" readingOrder="0" shrinkToFit="0" vertical="center" wrapText="1"/>
    </xf>
    <xf borderId="1" fillId="3" fontId="4" numFmtId="0" xfId="0" applyAlignment="1" applyBorder="1" applyFill="1" applyFont="1">
      <alignment horizontal="right" shrinkToFit="0" vertical="center" wrapText="0"/>
    </xf>
    <xf borderId="2" fillId="4" fontId="3" numFmtId="0" xfId="0" applyAlignment="1" applyBorder="1" applyFill="1" applyFont="1">
      <alignment horizontal="left" shrinkToFit="0" vertical="center" wrapText="0"/>
    </xf>
    <xf borderId="3" fillId="0" fontId="6" numFmtId="0" xfId="0" applyBorder="1" applyFont="1"/>
    <xf borderId="4" fillId="0" fontId="6" numFmtId="0" xfId="0" applyBorder="1" applyFont="1"/>
    <xf borderId="1" fillId="3" fontId="4" numFmtId="2" xfId="0" applyAlignment="1" applyBorder="1" applyFill="1" applyFont="1" applyNumberFormat="1">
      <alignment horizontal="right" shrinkToFit="0" vertical="center" wrapText="0"/>
    </xf>
    <xf borderId="1" fillId="3" fontId="2" numFmtId="0" xfId="0" applyAlignment="1" applyBorder="1" applyFill="1" applyFont="1">
      <alignment horizontal="left" shrinkToFit="0" vertical="center" wrapText="1"/>
    </xf>
    <xf borderId="1" fillId="5" fontId="5" numFmtId="0" xfId="0" applyAlignment="1" applyBorder="1" applyFill="1" applyFont="1">
      <alignment horizontal="center" shrinkToFit="0" vertical="center" wrapText="1"/>
    </xf>
    <xf borderId="1" fillId="5" fontId="4" numFmtId="0" xfId="0" applyAlignment="1" applyBorder="1" applyFill="1" applyFont="1">
      <alignment horizontal="left" shrinkToFit="0" vertical="center" wrapText="1"/>
    </xf>
    <xf borderId="1" fillId="5" fontId="4" numFmtId="0" xfId="0" applyAlignment="1" applyBorder="1" applyFill="1" applyFont="1">
      <alignment horizontal="right" shrinkToFit="0" vertical="center" wrapText="0"/>
    </xf>
    <xf borderId="1" fillId="5" fontId="4" numFmtId="2" xfId="0" applyAlignment="1" applyBorder="1" applyFill="1" applyFont="1" applyNumberFormat="1">
      <alignment horizontal="right" shrinkToFit="0" vertical="center" wrapText="0"/>
    </xf>
    <xf borderId="1" fillId="6" fontId="5" numFmtId="0" xfId="0" applyAlignment="1" applyBorder="1" applyFill="1" applyFont="1">
      <alignment horizontal="center" shrinkToFit="0" vertical="center" wrapText="1"/>
    </xf>
    <xf borderId="1" fillId="5" fontId="4" numFmtId="0" xfId="0" applyAlignment="1" applyBorder="1" applyFill="1" applyFont="1">
      <alignment horizontal="center" shrinkToFit="0" vertical="center" wrapText="1"/>
    </xf>
    <xf borderId="1" fillId="6" fontId="4" numFmtId="0" xfId="0" applyAlignment="1" applyBorder="1" applyFill="1" applyFont="1">
      <alignment horizontal="left" shrinkToFit="0" vertical="center" wrapText="1"/>
    </xf>
    <xf borderId="1" fillId="5" fontId="4" numFmtId="0" xfId="0" applyAlignment="1" applyBorder="1" applyFill="1" applyFont="1">
      <alignment horizontal="center" readingOrder="0" shrinkToFit="0" vertical="center" wrapText="1"/>
    </xf>
    <xf borderId="1" fillId="6" fontId="4" numFmtId="0" xfId="0" applyAlignment="1" applyBorder="1" applyFill="1" applyFont="1">
      <alignment horizontal="right" shrinkToFit="0" vertical="center" wrapText="0"/>
    </xf>
    <xf borderId="1" fillId="5" fontId="2" numFmtId="0" xfId="0" applyAlignment="1" applyBorder="1" applyFill="1" applyFont="1">
      <alignment horizontal="left" shrinkToFit="0" vertical="center" wrapText="1"/>
    </xf>
    <xf borderId="1" fillId="6" fontId="4" numFmtId="2" xfId="0" applyAlignment="1" applyBorder="1" applyFill="1" applyFont="1" applyNumberFormat="1">
      <alignment horizontal="right" shrinkToFit="0" vertical="center" wrapText="0"/>
    </xf>
    <xf borderId="1" fillId="7" fontId="5" numFmtId="0" xfId="0" applyAlignment="1" applyBorder="1" applyFill="1" applyFont="1">
      <alignment horizontal="center" shrinkToFit="0" vertical="center" wrapText="1"/>
    </xf>
    <xf borderId="1" fillId="7" fontId="4" numFmtId="0" xfId="0" applyAlignment="1" applyBorder="1" applyFill="1" applyFont="1">
      <alignment horizontal="left" shrinkToFit="0" vertical="center" wrapText="1"/>
    </xf>
    <xf borderId="1" fillId="7" fontId="4" numFmtId="0" xfId="0" applyAlignment="1" applyBorder="1" applyFill="1" applyFont="1">
      <alignment horizontal="right" shrinkToFit="0" vertical="center" wrapText="0"/>
    </xf>
    <xf borderId="1" fillId="7" fontId="4" numFmtId="2" xfId="0" applyAlignment="1" applyBorder="1" applyFill="1" applyFont="1" applyNumberFormat="1">
      <alignment horizontal="right" shrinkToFit="0" vertical="center" wrapText="0"/>
    </xf>
    <xf borderId="1" fillId="6" fontId="4"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right" shrinkToFit="0" vertical="center" wrapText="0"/>
    </xf>
    <xf borderId="1" fillId="0" fontId="5" numFmtId="2" xfId="0" applyAlignment="1" applyBorder="1" applyFont="1" applyNumberFormat="1">
      <alignment horizontal="right" shrinkToFit="0" vertical="center" wrapText="0"/>
    </xf>
    <xf borderId="0" fillId="0" fontId="7" numFmtId="0" xfId="0" applyAlignment="1" applyFont="1">
      <alignment shrinkToFit="0" vertical="bottom" wrapText="0"/>
    </xf>
    <xf borderId="1" fillId="6" fontId="2" numFmtId="0" xfId="0" applyAlignment="1" applyBorder="1" applyFill="1" applyFont="1">
      <alignment horizontal="left" shrinkToFit="0" vertical="center" wrapText="1"/>
    </xf>
    <xf borderId="0" fillId="0" fontId="2" numFmtId="0" xfId="0" applyAlignment="1" applyFont="1">
      <alignment shrinkToFit="0" vertical="bottom" wrapText="0"/>
    </xf>
    <xf borderId="0" fillId="0" fontId="8" numFmtId="0" xfId="0" applyAlignment="1" applyFont="1">
      <alignment horizontal="center" shrinkToFit="0" vertical="center" wrapText="1"/>
    </xf>
    <xf borderId="1" fillId="7" fontId="4" numFmtId="0" xfId="0" applyAlignment="1" applyBorder="1" applyFill="1" applyFont="1">
      <alignment horizontal="center" shrinkToFit="0" vertical="center" wrapText="1"/>
    </xf>
    <xf borderId="1" fillId="7" fontId="2" numFmtId="0" xfId="0" applyAlignment="1" applyBorder="1" applyFill="1" applyFont="1">
      <alignment horizontal="left" shrinkToFit="0" vertical="center" wrapText="1"/>
    </xf>
    <xf borderId="0" fillId="0" fontId="2" numFmtId="0" xfId="0" applyAlignment="1" applyFont="1">
      <alignment horizontal="center" shrinkToFit="0" vertical="center" wrapText="1"/>
    </xf>
    <xf borderId="5" fillId="0" fontId="9" numFmtId="0" xfId="0" applyAlignment="1" applyBorder="1" applyFont="1">
      <alignment horizontal="left" shrinkToFit="0" vertical="bottom" wrapText="0"/>
    </xf>
    <xf borderId="6" fillId="0" fontId="6" numFmtId="0" xfId="0" applyBorder="1" applyFont="1"/>
    <xf borderId="7" fillId="0" fontId="6" numFmtId="0" xfId="0" applyBorder="1" applyFont="1"/>
    <xf borderId="0" fillId="0" fontId="5" numFmtId="0" xfId="0" applyAlignment="1" applyFont="1">
      <alignment shrinkToFit="0" vertical="top" wrapText="1"/>
    </xf>
    <xf borderId="0" fillId="0" fontId="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3.0"/>
    <col customWidth="1" min="2" max="2" width="8.0"/>
    <col customWidth="1" min="3" max="3" width="10.0"/>
    <col customWidth="1" min="4" max="4" width="62.0"/>
    <col customWidth="1" min="5" max="5" width="22.0"/>
    <col customWidth="1" min="6" max="6" width="13.0"/>
    <col customWidth="1" min="7" max="7" width="9.0"/>
    <col customWidth="1" min="8" max="8" width="10.0"/>
    <col customWidth="1" min="9" max="9" width="8.0"/>
    <col customWidth="1" min="10" max="10" width="12.0"/>
    <col customWidth="1" min="11" max="11" width="11.0"/>
    <col customWidth="1" min="12" max="12" width="22.0"/>
    <col customWidth="1" min="13" max="13" width="44.0"/>
    <col customWidth="1" min="14" max="26" width="8.71"/>
  </cols>
  <sheetData>
    <row r="1" ht="27.75" customHeight="1">
      <c r="B1" s="2" t="s">
        <v>0</v>
      </c>
    </row>
    <row r="3" ht="43.5" customHeight="1">
      <c r="B3" s="4" t="s">
        <v>4</v>
      </c>
      <c r="C3" s="4" t="s">
        <v>7</v>
      </c>
      <c r="D3" s="4" t="s">
        <v>8</v>
      </c>
      <c r="E3" s="4" t="s">
        <v>10</v>
      </c>
      <c r="F3" s="4" t="s">
        <v>11</v>
      </c>
      <c r="G3" s="4" t="s">
        <v>13</v>
      </c>
      <c r="H3" s="4" t="s">
        <v>15</v>
      </c>
      <c r="I3" s="4" t="s">
        <v>18</v>
      </c>
      <c r="J3" s="4" t="s">
        <v>20</v>
      </c>
      <c r="K3" s="4" t="s">
        <v>21</v>
      </c>
      <c r="L3" s="4" t="s">
        <v>23</v>
      </c>
      <c r="M3" s="4" t="s">
        <v>24</v>
      </c>
    </row>
    <row r="4" ht="46.5" customHeight="1">
      <c r="B4" s="5">
        <v>1.0</v>
      </c>
      <c r="C4" s="5" t="s">
        <v>26</v>
      </c>
      <c r="D4" s="6" t="s">
        <v>28</v>
      </c>
      <c r="E4" s="6" t="s">
        <v>29</v>
      </c>
      <c r="F4" s="8" t="s">
        <v>30</v>
      </c>
      <c r="G4" s="9">
        <v>8.0</v>
      </c>
      <c r="H4" s="9">
        <v>3.0</v>
      </c>
      <c r="I4" s="13">
        <f t="shared" ref="I4:I20" si="1">ROUND(G4/H4,2)</f>
        <v>2.67</v>
      </c>
      <c r="J4" s="5" t="s">
        <v>27</v>
      </c>
      <c r="K4" s="5" t="s">
        <v>32</v>
      </c>
      <c r="L4" s="5" t="str">
        <f t="array" ref="L4">INDEX('Plan de Sprints'!$I$13:$I$29,MATCH(C4,'Plan de Sprints'!$D$13:$D$29,0))</f>
        <v>—</v>
      </c>
      <c r="M4" s="6" t="s">
        <v>34</v>
      </c>
    </row>
    <row r="5" ht="60.0" customHeight="1">
      <c r="B5" s="5">
        <v>2.0</v>
      </c>
      <c r="C5" s="5" t="s">
        <v>36</v>
      </c>
      <c r="D5" s="6" t="s">
        <v>37</v>
      </c>
      <c r="E5" s="6" t="s">
        <v>38</v>
      </c>
      <c r="F5" s="8" t="s">
        <v>30</v>
      </c>
      <c r="G5" s="9">
        <v>6.0</v>
      </c>
      <c r="H5" s="9">
        <v>5.0</v>
      </c>
      <c r="I5" s="13">
        <f t="shared" si="1"/>
        <v>1.2</v>
      </c>
      <c r="J5" s="5" t="s">
        <v>27</v>
      </c>
      <c r="K5" s="5" t="s">
        <v>39</v>
      </c>
      <c r="L5" s="5" t="str">
        <f t="array" ref="L5">INDEX('Plan de Sprints'!$I$13:$I$29,MATCH(C5,'Plan de Sprints'!$D$13:$D$29,0))</f>
        <v>—</v>
      </c>
      <c r="M5" s="6" t="s">
        <v>41</v>
      </c>
    </row>
    <row r="6" ht="46.5" customHeight="1">
      <c r="B6" s="5">
        <v>3.0</v>
      </c>
      <c r="C6" s="5" t="s">
        <v>40</v>
      </c>
      <c r="D6" s="6" t="s">
        <v>43</v>
      </c>
      <c r="E6" s="6" t="s">
        <v>44</v>
      </c>
      <c r="F6" s="8" t="s">
        <v>30</v>
      </c>
      <c r="G6" s="9">
        <v>7.0</v>
      </c>
      <c r="H6" s="9">
        <v>5.0</v>
      </c>
      <c r="I6" s="13">
        <f t="shared" si="1"/>
        <v>1.4</v>
      </c>
      <c r="J6" s="5" t="s">
        <v>27</v>
      </c>
      <c r="K6" s="5" t="s">
        <v>39</v>
      </c>
      <c r="L6" s="5" t="str">
        <f t="array" ref="L6">INDEX('Plan de Sprints'!$I$13:$I$29,MATCH(C6,'Plan de Sprints'!$D$13:$D$29,0))</f>
        <v>h11, h2</v>
      </c>
      <c r="M6" s="6" t="s">
        <v>47</v>
      </c>
    </row>
    <row r="7" ht="60.0" customHeight="1">
      <c r="B7" s="5">
        <v>4.0</v>
      </c>
      <c r="C7" s="5" t="s">
        <v>46</v>
      </c>
      <c r="D7" s="6" t="s">
        <v>48</v>
      </c>
      <c r="E7" s="6" t="s">
        <v>49</v>
      </c>
      <c r="F7" s="8" t="s">
        <v>30</v>
      </c>
      <c r="G7" s="9">
        <v>6.0</v>
      </c>
      <c r="H7" s="9">
        <v>5.0</v>
      </c>
      <c r="I7" s="13">
        <f t="shared" si="1"/>
        <v>1.2</v>
      </c>
      <c r="J7" s="5" t="s">
        <v>27</v>
      </c>
      <c r="K7" s="5" t="s">
        <v>39</v>
      </c>
      <c r="L7" s="5" t="str">
        <f t="array" ref="L7">INDEX('Plan de Sprints'!$I$13:$I$29,MATCH(C7,'Plan de Sprints'!$D$13:$D$29,0))</f>
        <v>—</v>
      </c>
      <c r="M7" s="6" t="s">
        <v>50</v>
      </c>
    </row>
    <row r="8" ht="46.5" customHeight="1">
      <c r="B8" s="20">
        <v>5.0</v>
      </c>
      <c r="C8" s="20" t="s">
        <v>52</v>
      </c>
      <c r="D8" s="16" t="s">
        <v>54</v>
      </c>
      <c r="E8" s="16" t="s">
        <v>55</v>
      </c>
      <c r="F8" s="22" t="s">
        <v>30</v>
      </c>
      <c r="G8" s="17">
        <v>8.0</v>
      </c>
      <c r="H8" s="17">
        <v>3.0</v>
      </c>
      <c r="I8" s="18">
        <f t="shared" si="1"/>
        <v>2.67</v>
      </c>
      <c r="J8" s="20" t="s">
        <v>42</v>
      </c>
      <c r="K8" s="20" t="s">
        <v>32</v>
      </c>
      <c r="L8" s="20" t="str">
        <f t="array" ref="L8">INDEX('Plan de Sprints'!$I$13:$I$29,MATCH(C8,'Plan de Sprints'!$D$13:$D$29,0))</f>
        <v>h2</v>
      </c>
      <c r="M8" s="16" t="s">
        <v>56</v>
      </c>
    </row>
    <row r="9" ht="60.0" customHeight="1">
      <c r="B9" s="20">
        <v>6.0</v>
      </c>
      <c r="C9" s="20" t="s">
        <v>57</v>
      </c>
      <c r="D9" s="16" t="s">
        <v>58</v>
      </c>
      <c r="E9" s="16" t="s">
        <v>59</v>
      </c>
      <c r="F9" s="22" t="s">
        <v>30</v>
      </c>
      <c r="G9" s="17">
        <v>7.0</v>
      </c>
      <c r="H9" s="17">
        <v>4.0</v>
      </c>
      <c r="I9" s="18">
        <f t="shared" si="1"/>
        <v>1.75</v>
      </c>
      <c r="J9" s="20" t="s">
        <v>42</v>
      </c>
      <c r="K9" s="20" t="s">
        <v>39</v>
      </c>
      <c r="L9" s="20" t="str">
        <f t="array" ref="L9">INDEX('Plan de Sprints'!$I$13:$I$29,MATCH(C9,'Plan de Sprints'!$D$13:$D$29,0))</f>
        <v>h2</v>
      </c>
      <c r="M9" s="16" t="s">
        <v>60</v>
      </c>
    </row>
    <row r="10" ht="46.5" customHeight="1">
      <c r="B10" s="20">
        <v>7.0</v>
      </c>
      <c r="C10" s="20" t="s">
        <v>62</v>
      </c>
      <c r="D10" s="16" t="s">
        <v>63</v>
      </c>
      <c r="E10" s="16" t="s">
        <v>64</v>
      </c>
      <c r="F10" s="20" t="s">
        <v>65</v>
      </c>
      <c r="G10" s="17">
        <v>7.0</v>
      </c>
      <c r="H10" s="17">
        <v>5.0</v>
      </c>
      <c r="I10" s="18">
        <f t="shared" si="1"/>
        <v>1.4</v>
      </c>
      <c r="J10" s="20" t="s">
        <v>42</v>
      </c>
      <c r="K10" s="20" t="s">
        <v>39</v>
      </c>
      <c r="L10" s="20" t="str">
        <f t="array" ref="L10">INDEX('Plan de Sprints'!$I$13:$I$29,MATCH(C10,'Plan de Sprints'!$D$13:$D$29,0))</f>
        <v>h2, h15</v>
      </c>
      <c r="M10" s="16" t="s">
        <v>68</v>
      </c>
    </row>
    <row r="11" ht="60.0" customHeight="1">
      <c r="B11" s="20">
        <v>8.0</v>
      </c>
      <c r="C11" s="20" t="s">
        <v>67</v>
      </c>
      <c r="D11" s="16" t="s">
        <v>69</v>
      </c>
      <c r="E11" s="16" t="s">
        <v>70</v>
      </c>
      <c r="F11" s="20" t="s">
        <v>65</v>
      </c>
      <c r="G11" s="17">
        <v>9.0</v>
      </c>
      <c r="H11" s="17">
        <v>8.0</v>
      </c>
      <c r="I11" s="18">
        <f t="shared" si="1"/>
        <v>1.13</v>
      </c>
      <c r="J11" s="20" t="s">
        <v>42</v>
      </c>
      <c r="K11" s="20" t="s">
        <v>32</v>
      </c>
      <c r="L11" s="20" t="str">
        <f t="array" ref="L11">INDEX('Plan de Sprints'!$I$13:$I$29,MATCH(C11,'Plan de Sprints'!$D$13:$D$29,0))</f>
        <v>h12, h2</v>
      </c>
      <c r="M11" s="16" t="s">
        <v>71</v>
      </c>
    </row>
    <row r="12" ht="60.0" customHeight="1">
      <c r="B12" s="30">
        <v>9.0</v>
      </c>
      <c r="C12" s="30" t="s">
        <v>73</v>
      </c>
      <c r="D12" s="21" t="s">
        <v>74</v>
      </c>
      <c r="E12" s="21" t="s">
        <v>75</v>
      </c>
      <c r="F12" s="30" t="s">
        <v>65</v>
      </c>
      <c r="G12" s="23">
        <v>10.0</v>
      </c>
      <c r="H12" s="23">
        <v>3.0</v>
      </c>
      <c r="I12" s="25">
        <f t="shared" si="1"/>
        <v>3.33</v>
      </c>
      <c r="J12" s="30" t="s">
        <v>51</v>
      </c>
      <c r="K12" s="30" t="s">
        <v>32</v>
      </c>
      <c r="L12" s="30" t="str">
        <f t="array" ref="L12">INDEX('Plan de Sprints'!$I$13:$I$29,MATCH(C12,'Plan de Sprints'!$D$13:$D$29,0))</f>
        <v>h4, h13, h14, h6</v>
      </c>
      <c r="M12" s="21" t="s">
        <v>77</v>
      </c>
    </row>
    <row r="13" ht="46.5" customHeight="1">
      <c r="B13" s="30">
        <v>10.0</v>
      </c>
      <c r="C13" s="30" t="s">
        <v>78</v>
      </c>
      <c r="D13" s="21" t="s">
        <v>79</v>
      </c>
      <c r="E13" s="21" t="s">
        <v>81</v>
      </c>
      <c r="F13" s="30" t="s">
        <v>65</v>
      </c>
      <c r="G13" s="23">
        <v>9.0</v>
      </c>
      <c r="H13" s="23">
        <v>5.0</v>
      </c>
      <c r="I13" s="25">
        <f t="shared" si="1"/>
        <v>1.8</v>
      </c>
      <c r="J13" s="30" t="s">
        <v>51</v>
      </c>
      <c r="K13" s="30" t="s">
        <v>32</v>
      </c>
      <c r="L13" s="30" t="str">
        <f t="array" ref="L13">INDEX('Plan de Sprints'!$I$13:$I$29,MATCH(C13,'Plan de Sprints'!$D$13:$D$29,0))</f>
        <v>h4, h12</v>
      </c>
      <c r="M13" s="21" t="s">
        <v>94</v>
      </c>
    </row>
    <row r="14" ht="46.5" customHeight="1">
      <c r="B14" s="30">
        <v>11.0</v>
      </c>
      <c r="C14" s="30" t="s">
        <v>95</v>
      </c>
      <c r="D14" s="21" t="s">
        <v>96</v>
      </c>
      <c r="E14" s="21" t="s">
        <v>97</v>
      </c>
      <c r="F14" s="30" t="s">
        <v>65</v>
      </c>
      <c r="G14" s="23">
        <v>8.0</v>
      </c>
      <c r="H14" s="23">
        <v>5.0</v>
      </c>
      <c r="I14" s="25">
        <f t="shared" si="1"/>
        <v>1.6</v>
      </c>
      <c r="J14" s="30" t="s">
        <v>51</v>
      </c>
      <c r="K14" s="30" t="s">
        <v>39</v>
      </c>
      <c r="L14" s="30" t="str">
        <f t="array" ref="L14">INDEX('Plan de Sprints'!$I$13:$I$29,MATCH(C14,'Plan de Sprints'!$D$13:$D$29,0))</f>
        <v>h6, h15</v>
      </c>
      <c r="M14" s="21" t="s">
        <v>99</v>
      </c>
    </row>
    <row r="15" ht="46.5" customHeight="1">
      <c r="B15" s="30">
        <v>12.0</v>
      </c>
      <c r="C15" s="30" t="s">
        <v>98</v>
      </c>
      <c r="D15" s="21" t="s">
        <v>100</v>
      </c>
      <c r="E15" s="21" t="s">
        <v>101</v>
      </c>
      <c r="F15" s="30" t="s">
        <v>65</v>
      </c>
      <c r="G15" s="23">
        <v>6.0</v>
      </c>
      <c r="H15" s="23">
        <v>8.0</v>
      </c>
      <c r="I15" s="25">
        <f t="shared" si="1"/>
        <v>0.75</v>
      </c>
      <c r="J15" s="30" t="s">
        <v>51</v>
      </c>
      <c r="K15" s="30" t="s">
        <v>102</v>
      </c>
      <c r="L15" s="30" t="str">
        <f t="array" ref="L15">INDEX('Plan de Sprints'!$I$13:$I$29,MATCH(C15,'Plan de Sprints'!$D$13:$D$29,0))</f>
        <v>h16, h15</v>
      </c>
      <c r="M15" s="21" t="s">
        <v>103</v>
      </c>
    </row>
    <row r="16" ht="60.0" customHeight="1">
      <c r="B16" s="39">
        <v>13.0</v>
      </c>
      <c r="C16" s="39" t="s">
        <v>104</v>
      </c>
      <c r="D16" s="27" t="s">
        <v>105</v>
      </c>
      <c r="E16" s="27" t="s">
        <v>106</v>
      </c>
      <c r="F16" s="39" t="s">
        <v>65</v>
      </c>
      <c r="G16" s="28">
        <v>10.0</v>
      </c>
      <c r="H16" s="28">
        <v>3.0</v>
      </c>
      <c r="I16" s="29">
        <f t="shared" si="1"/>
        <v>3.33</v>
      </c>
      <c r="J16" s="39" t="s">
        <v>61</v>
      </c>
      <c r="K16" s="39" t="s">
        <v>32</v>
      </c>
      <c r="L16" s="39" t="str">
        <f t="array" ref="L16">INDEX('Plan de Sprints'!$I$13:$I$29,MATCH(C16,'Plan de Sprints'!$D$13:$D$29,0))</f>
        <v>h13, h14, h4, h5, h16, h17</v>
      </c>
      <c r="M16" s="27" t="s">
        <v>107</v>
      </c>
    </row>
    <row r="17" ht="46.5" customHeight="1">
      <c r="B17" s="39">
        <v>14.0</v>
      </c>
      <c r="C17" s="39" t="s">
        <v>108</v>
      </c>
      <c r="D17" s="27" t="s">
        <v>109</v>
      </c>
      <c r="E17" s="27" t="s">
        <v>110</v>
      </c>
      <c r="F17" s="39" t="s">
        <v>65</v>
      </c>
      <c r="G17" s="28">
        <v>9.0</v>
      </c>
      <c r="H17" s="28">
        <v>3.0</v>
      </c>
      <c r="I17" s="29">
        <f t="shared" si="1"/>
        <v>3</v>
      </c>
      <c r="J17" s="39" t="s">
        <v>61</v>
      </c>
      <c r="K17" s="39" t="s">
        <v>32</v>
      </c>
      <c r="L17" s="39" t="str">
        <f t="array" ref="L17">INDEX('Plan de Sprints'!$I$13:$I$29,MATCH(C17,'Plan de Sprints'!$D$13:$D$29,0))</f>
        <v>h5, h16, h17</v>
      </c>
      <c r="M17" s="27" t="s">
        <v>111</v>
      </c>
    </row>
    <row r="18" ht="60.0" customHeight="1">
      <c r="B18" s="39">
        <v>15.0</v>
      </c>
      <c r="C18" s="39" t="s">
        <v>112</v>
      </c>
      <c r="D18" s="27" t="s">
        <v>113</v>
      </c>
      <c r="E18" s="27" t="s">
        <v>114</v>
      </c>
      <c r="F18" s="39" t="s">
        <v>65</v>
      </c>
      <c r="G18" s="28">
        <v>8.0</v>
      </c>
      <c r="H18" s="28">
        <v>3.0</v>
      </c>
      <c r="I18" s="29">
        <f t="shared" si="1"/>
        <v>2.67</v>
      </c>
      <c r="J18" s="39" t="s">
        <v>61</v>
      </c>
      <c r="K18" s="39" t="s">
        <v>32</v>
      </c>
      <c r="L18" s="39" t="str">
        <f t="array" ref="L18">INDEX('Plan de Sprints'!$I$13:$I$29,MATCH(C18,'Plan de Sprints'!$D$13:$D$29,0))</f>
        <v>h4, h13, h14, h8</v>
      </c>
      <c r="M18" s="27" t="s">
        <v>116</v>
      </c>
    </row>
    <row r="19" ht="46.5" customHeight="1">
      <c r="B19" s="39">
        <v>16.0</v>
      </c>
      <c r="C19" s="39" t="s">
        <v>117</v>
      </c>
      <c r="D19" s="27" t="s">
        <v>118</v>
      </c>
      <c r="E19" s="27" t="s">
        <v>119</v>
      </c>
      <c r="F19" s="39" t="s">
        <v>65</v>
      </c>
      <c r="G19" s="28">
        <v>8.0</v>
      </c>
      <c r="H19" s="28">
        <v>3.0</v>
      </c>
      <c r="I19" s="29">
        <f t="shared" si="1"/>
        <v>2.67</v>
      </c>
      <c r="J19" s="39" t="s">
        <v>61</v>
      </c>
      <c r="K19" s="39" t="s">
        <v>32</v>
      </c>
      <c r="L19" s="39" t="str">
        <f t="array" ref="L19">INDEX('Plan de Sprints'!$I$13:$I$29,MATCH(C19,'Plan de Sprints'!$D$13:$D$29,0))</f>
        <v>h2, h7, h8</v>
      </c>
      <c r="M19" s="27" t="s">
        <v>120</v>
      </c>
    </row>
    <row r="20" ht="46.5" customHeight="1">
      <c r="B20" s="39">
        <v>17.0</v>
      </c>
      <c r="C20" s="39" t="s">
        <v>121</v>
      </c>
      <c r="D20" s="27" t="s">
        <v>122</v>
      </c>
      <c r="E20" s="27" t="s">
        <v>123</v>
      </c>
      <c r="F20" s="39" t="s">
        <v>65</v>
      </c>
      <c r="G20" s="28">
        <v>5.0</v>
      </c>
      <c r="H20" s="28">
        <v>8.0</v>
      </c>
      <c r="I20" s="29">
        <f t="shared" si="1"/>
        <v>0.63</v>
      </c>
      <c r="J20" s="39" t="s">
        <v>61</v>
      </c>
      <c r="K20" s="39" t="s">
        <v>102</v>
      </c>
      <c r="L20" s="39" t="str">
        <f t="array" ref="L20">INDEX('Plan de Sprints'!$I$13:$I$29,MATCH(C20,'Plan de Sprints'!$D$13:$D$29,0))</f>
        <v>h11</v>
      </c>
      <c r="M20" s="27" t="s">
        <v>124</v>
      </c>
    </row>
    <row r="21" ht="15.75" customHeight="1"/>
    <row r="22" ht="27.75" customHeight="1">
      <c r="B22" s="3" t="s">
        <v>125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M1"/>
    <mergeCell ref="B22:M2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
    <col customWidth="1" min="2" max="2" width="10.0"/>
    <col customWidth="1" min="3" max="3" width="46.0"/>
    <col customWidth="1" min="4" max="4" width="14.0"/>
    <col customWidth="1" min="5" max="6" width="16.0"/>
    <col customWidth="1" min="7" max="7" width="15.0"/>
    <col customWidth="1" min="8" max="8" width="10.0"/>
    <col customWidth="1" min="9" max="9" width="26.0"/>
    <col customWidth="1" min="10" max="10" width="70.0"/>
    <col customWidth="1" min="11" max="11" width="22.0"/>
    <col customWidth="1" min="12" max="17" width="6.0"/>
    <col customWidth="1" min="18" max="26" width="8.71"/>
  </cols>
  <sheetData>
    <row r="1" ht="27.75" customHeight="1">
      <c r="B1" s="1" t="s">
        <v>2</v>
      </c>
    </row>
    <row r="3" ht="31.5" customHeight="1">
      <c r="B3" s="4" t="s">
        <v>5</v>
      </c>
      <c r="C3" s="4" t="s">
        <v>17</v>
      </c>
      <c r="D3" s="4" t="s">
        <v>22</v>
      </c>
      <c r="E3" s="4" t="s">
        <v>15</v>
      </c>
      <c r="F3" s="4" t="s">
        <v>13</v>
      </c>
      <c r="G3" s="4" t="s">
        <v>25</v>
      </c>
    </row>
    <row r="4" ht="43.5" customHeight="1">
      <c r="B4" s="7" t="s">
        <v>27</v>
      </c>
      <c r="C4" s="6" t="s">
        <v>31</v>
      </c>
      <c r="D4" s="9">
        <f>COUNTIF('Pila de Producto (Backlog)'!$J$4:$J$20,B4)</f>
        <v>4</v>
      </c>
      <c r="E4" s="9">
        <f>SUMIF('Pila de Producto (Backlog)'!$J$4:$J$20,B4,'Pila de Producto (Backlog)'!$H$4:$H$20)</f>
        <v>18</v>
      </c>
      <c r="F4" s="9">
        <f>SUMIF('Pila de Producto (Backlog)'!$J$4:$J$20,B4,'Pila de Producto (Backlog)'!$G$4:$G$20)</f>
        <v>27</v>
      </c>
      <c r="G4" s="13">
        <f t="shared" ref="G4:G8" si="1">IF(E4=0,0,ROUND(F4/E4,2))</f>
        <v>1.5</v>
      </c>
    </row>
    <row r="5" ht="43.5" customHeight="1">
      <c r="B5" s="15" t="s">
        <v>42</v>
      </c>
      <c r="C5" s="16" t="s">
        <v>45</v>
      </c>
      <c r="D5" s="17">
        <f>COUNTIF('Pila de Producto (Backlog)'!$J$4:$J$20,B5)</f>
        <v>4</v>
      </c>
      <c r="E5" s="17">
        <f>SUMIF('Pila de Producto (Backlog)'!$J$4:$J$20,B5,'Pila de Producto (Backlog)'!$H$4:$H$20)</f>
        <v>20</v>
      </c>
      <c r="F5" s="17">
        <f>SUMIF('Pila de Producto (Backlog)'!$J$4:$J$20,B5,'Pila de Producto (Backlog)'!$G$4:$G$20)</f>
        <v>31</v>
      </c>
      <c r="G5" s="18">
        <f t="shared" si="1"/>
        <v>1.55</v>
      </c>
    </row>
    <row r="6" ht="43.5" customHeight="1">
      <c r="B6" s="19" t="s">
        <v>51</v>
      </c>
      <c r="C6" s="21" t="s">
        <v>53</v>
      </c>
      <c r="D6" s="23">
        <f>COUNTIF('Pila de Producto (Backlog)'!$J$4:$J$20,B6)</f>
        <v>4</v>
      </c>
      <c r="E6" s="23">
        <f>SUMIF('Pila de Producto (Backlog)'!$J$4:$J$20,B6,'Pila de Producto (Backlog)'!$H$4:$H$20)</f>
        <v>21</v>
      </c>
      <c r="F6" s="23">
        <f>SUMIF('Pila de Producto (Backlog)'!$J$4:$J$20,B6,'Pila de Producto (Backlog)'!$G$4:$G$20)</f>
        <v>33</v>
      </c>
      <c r="G6" s="25">
        <f t="shared" si="1"/>
        <v>1.57</v>
      </c>
    </row>
    <row r="7" ht="43.5" customHeight="1">
      <c r="B7" s="26" t="s">
        <v>61</v>
      </c>
      <c r="C7" s="27" t="s">
        <v>66</v>
      </c>
      <c r="D7" s="28">
        <f>COUNTIF('Pila de Producto (Backlog)'!$J$4:$J$20,B7)</f>
        <v>5</v>
      </c>
      <c r="E7" s="28">
        <f>SUMIF('Pila de Producto (Backlog)'!$J$4:$J$20,B7,'Pila de Producto (Backlog)'!$H$4:$H$20)</f>
        <v>20</v>
      </c>
      <c r="F7" s="28">
        <f>SUMIF('Pila de Producto (Backlog)'!$J$4:$J$20,B7,'Pila de Producto (Backlog)'!$G$4:$G$20)</f>
        <v>40</v>
      </c>
      <c r="G7" s="29">
        <f t="shared" si="1"/>
        <v>2</v>
      </c>
    </row>
    <row r="8">
      <c r="B8" s="31" t="s">
        <v>72</v>
      </c>
      <c r="C8" s="32"/>
      <c r="D8" s="33">
        <f t="shared" ref="D8:F8" si="2">SUM(D4:D7)</f>
        <v>17</v>
      </c>
      <c r="E8" s="33">
        <f t="shared" si="2"/>
        <v>79</v>
      </c>
      <c r="F8" s="33">
        <f t="shared" si="2"/>
        <v>131</v>
      </c>
      <c r="G8" s="34">
        <f t="shared" si="1"/>
        <v>1.66</v>
      </c>
    </row>
    <row r="11">
      <c r="B11" s="35" t="s">
        <v>76</v>
      </c>
      <c r="L11" s="37" t="s">
        <v>80</v>
      </c>
    </row>
    <row r="12" ht="31.5" customHeight="1">
      <c r="B12" s="4" t="s">
        <v>82</v>
      </c>
      <c r="C12" s="4" t="s">
        <v>10</v>
      </c>
      <c r="D12" s="4" t="s">
        <v>83</v>
      </c>
      <c r="E12" s="4" t="s">
        <v>84</v>
      </c>
      <c r="F12" s="4" t="s">
        <v>85</v>
      </c>
      <c r="G12" s="4" t="s">
        <v>15</v>
      </c>
      <c r="H12" s="4" t="s">
        <v>18</v>
      </c>
      <c r="I12" s="4" t="s">
        <v>23</v>
      </c>
      <c r="J12" s="4" t="s">
        <v>86</v>
      </c>
      <c r="K12" s="4" t="s">
        <v>87</v>
      </c>
      <c r="L12" s="38" t="s">
        <v>88</v>
      </c>
      <c r="M12" s="38" t="s">
        <v>89</v>
      </c>
      <c r="N12" s="38" t="s">
        <v>90</v>
      </c>
      <c r="O12" s="38" t="s">
        <v>91</v>
      </c>
      <c r="P12" s="38" t="s">
        <v>92</v>
      </c>
      <c r="Q12" s="38" t="s">
        <v>93</v>
      </c>
    </row>
    <row r="13" ht="34.5" customHeight="1">
      <c r="B13" s="5">
        <v>1.0</v>
      </c>
      <c r="C13" s="6" t="str">
        <f t="array" ref="C13">INDEX('Pila de Producto (Backlog)'!$E$4:$E$20,MATCH($D13,'Pila de Producto (Backlog)'!$C$4:$C$20,0))</f>
        <v>Apertura de Sesión</v>
      </c>
      <c r="D13" s="5" t="s">
        <v>26</v>
      </c>
      <c r="E13" s="5" t="s">
        <v>27</v>
      </c>
      <c r="F13" s="5" t="str">
        <f t="array" ref="F13">INDEX('Pila de Producto (Backlog)'!$J$4:$J$20,MATCH($D13,'Pila de Producto (Backlog)'!$C$4:$C$20,0))</f>
        <v>Sprint 1</v>
      </c>
      <c r="G13" s="9">
        <f t="array" ref="G13">INDEX('Pila de Producto (Backlog)'!$H$4:$H$20,MATCH($D13,'Pila de Producto (Backlog)'!$C$4:$C$20,0))</f>
        <v>3</v>
      </c>
      <c r="H13" s="13">
        <f t="array" ref="H13">INDEX('Pila de Producto (Backlog)'!$I$4:$I$20,MATCH($D13,'Pila de Producto (Backlog)'!$C$4:$C$20,0))</f>
        <v>2.67</v>
      </c>
      <c r="I13" s="5" t="str">
        <f t="shared" ref="I13:I29" si="3">IF(COUNTA(L13:Q13)=0,"—",L13&amp;IF(M13&lt;&gt;"",", "&amp;M13,"")&amp;IF(N13&lt;&gt;"",", "&amp;N13,"")&amp;IF(O13&lt;&gt;"",", "&amp;O13,"")&amp;IF(P13&lt;&gt;"",", "&amp;P13,"")&amp;IF(Q13&lt;&gt;"",", "&amp;Q13,""))</f>
        <v>—</v>
      </c>
      <c r="J13" s="6" t="s">
        <v>115</v>
      </c>
      <c r="K13" s="5" t="str">
        <f t="array" ref="K13">IF(COUNTA(L13:Q13)=0,"OK (sin dependencias)",IF(SUMPRODUCT((L13:Q13&lt;&gt;"")*(COUNTIF($D$13:$D$29,L13:Q13)=0))&gt;0,"ERROR: ID no existe",IF(MAX(IFERROR(INDEX($B$13:$B$29,MATCH(L13,$D$13:$D$29,0)),0),IFERROR(INDEX($B$13:$B$29,MATCH(M13,$D$13:$D$29,0)),0),IFERROR(INDEX($B$13:$B$29,MATCH(N13,$D$13:$D$29,0)),0),IFERROR(INDEX($B$13:$B$29,MATCH(O13,$D$13:$D$29,0)),0),IFERROR(INDEX($B$13:$B$29,MATCH(P13,$D$13:$D$29,0)),0),IFERROR(INDEX($B$13:$B$29,MATCH(Q13,$D$13:$D$29,0)),0))&lt;B13,"OK","ERROR: depende de una historia posterior")))</f>
        <v>OK (sin dependencias)</v>
      </c>
    </row>
    <row r="14" ht="21.0" customHeight="1">
      <c r="B14" s="5">
        <v>2.0</v>
      </c>
      <c r="C14" s="6" t="str">
        <f t="array" ref="C14">INDEX('Pila de Producto (Backlog)'!$E$4:$E$20,MATCH($D14,'Pila de Producto (Backlog)'!$C$4:$C$20,0))</f>
        <v>Ajuste Stock Bodega</v>
      </c>
      <c r="D14" s="5" t="s">
        <v>36</v>
      </c>
      <c r="E14" s="5" t="s">
        <v>27</v>
      </c>
      <c r="F14" s="5" t="str">
        <f t="array" ref="F14">INDEX('Pila de Producto (Backlog)'!$J$4:$J$20,MATCH($D14,'Pila de Producto (Backlog)'!$C$4:$C$20,0))</f>
        <v>Sprint 1</v>
      </c>
      <c r="G14" s="9">
        <f t="array" ref="G14">INDEX('Pila de Producto (Backlog)'!$H$4:$H$20,MATCH($D14,'Pila de Producto (Backlog)'!$C$4:$C$20,0))</f>
        <v>5</v>
      </c>
      <c r="H14" s="13">
        <f t="array" ref="H14">INDEX('Pila de Producto (Backlog)'!$I$4:$I$20,MATCH($D14,'Pila de Producto (Backlog)'!$C$4:$C$20,0))</f>
        <v>1.2</v>
      </c>
      <c r="I14" s="5" t="str">
        <f t="shared" si="3"/>
        <v>—</v>
      </c>
      <c r="J14" s="6" t="s">
        <v>126</v>
      </c>
      <c r="K14" s="5" t="str">
        <f t="array" ref="K14">IF(COUNTA(L14:Q14)=0,"OK (sin dependencias)",IF(SUMPRODUCT((L14:Q14&lt;&gt;"")*(COUNTIF($D$13:$D$29,L14:Q14)=0))&gt;0,"ERROR: ID no existe",IF(MAX(IFERROR(INDEX($B$13:$B$29,MATCH(L14,$D$13:$D$29,0)),0),IFERROR(INDEX($B$13:$B$29,MATCH(M14,$D$13:$D$29,0)),0),IFERROR(INDEX($B$13:$B$29,MATCH(N14,$D$13:$D$29,0)),0),IFERROR(INDEX($B$13:$B$29,MATCH(O14,$D$13:$D$29,0)),0),IFERROR(INDEX($B$13:$B$29,MATCH(P14,$D$13:$D$29,0)),0),IFERROR(INDEX($B$13:$B$29,MATCH(Q14,$D$13:$D$29,0)),0))&lt;B14,"OK","ERROR: depende de una historia posterior")))</f>
        <v>OK (sin dependencias)</v>
      </c>
    </row>
    <row r="15" ht="34.5" customHeight="1">
      <c r="B15" s="5">
        <v>3.0</v>
      </c>
      <c r="C15" s="6" t="str">
        <f t="array" ref="C15">INDEX('Pila de Producto (Backlog)'!$E$4:$E$20,MATCH($D15,'Pila de Producto (Backlog)'!$C$4:$C$20,0))</f>
        <v>Despacho a Barras</v>
      </c>
      <c r="D15" s="5" t="s">
        <v>40</v>
      </c>
      <c r="E15" s="5" t="s">
        <v>42</v>
      </c>
      <c r="F15" s="5" t="str">
        <f t="array" ref="F15">INDEX('Pila de Producto (Backlog)'!$J$4:$J$20,MATCH($D15,'Pila de Producto (Backlog)'!$C$4:$C$20,0))</f>
        <v>Sprint 1</v>
      </c>
      <c r="G15" s="9">
        <f t="array" ref="G15">INDEX('Pila de Producto (Backlog)'!$H$4:$H$20,MATCH($D15,'Pila de Producto (Backlog)'!$C$4:$C$20,0))</f>
        <v>5</v>
      </c>
      <c r="H15" s="13">
        <f t="array" ref="H15">INDEX('Pila de Producto (Backlog)'!$I$4:$I$20,MATCH($D15,'Pila de Producto (Backlog)'!$C$4:$C$20,0))</f>
        <v>1.4</v>
      </c>
      <c r="I15" s="5" t="str">
        <f t="shared" si="3"/>
        <v>h11, h2</v>
      </c>
      <c r="J15" s="6" t="s">
        <v>127</v>
      </c>
      <c r="K15" s="5" t="str">
        <f t="array" ref="K15">IF(COUNTA(L15:Q15)=0,"OK (sin dependencias)",IF(SUMPRODUCT((L15:Q15&lt;&gt;"")*(COUNTIF($D$13:$D$29,L15:Q15)=0))&gt;0,"ERROR: ID no existe",IF(MAX(IFERROR(INDEX($B$13:$B$29,MATCH(L15,$D$13:$D$29,0)),0),IFERROR(INDEX($B$13:$B$29,MATCH(M15,$D$13:$D$29,0)),0),IFERROR(INDEX($B$13:$B$29,MATCH(N15,$D$13:$D$29,0)),0),IFERROR(INDEX($B$13:$B$29,MATCH(O15,$D$13:$D$29,0)),0),IFERROR(INDEX($B$13:$B$29,MATCH(P15,$D$13:$D$29,0)),0),IFERROR(INDEX($B$13:$B$29,MATCH(Q15,$D$13:$D$29,0)),0))&lt;B15,"OK","ERROR: depende de una historia posterior")))</f>
        <v>OK</v>
      </c>
      <c r="L15" s="41" t="s">
        <v>36</v>
      </c>
      <c r="M15" s="41" t="s">
        <v>26</v>
      </c>
    </row>
    <row r="16" ht="21.0" customHeight="1">
      <c r="B16" s="5">
        <v>4.0</v>
      </c>
      <c r="C16" s="6" t="str">
        <f t="array" ref="C16">INDEX('Pila de Producto (Backlog)'!$E$4:$E$20,MATCH($D16,'Pila de Producto (Backlog)'!$C$4:$C$20,0))</f>
        <v>Maestro de Personal</v>
      </c>
      <c r="D16" s="5" t="s">
        <v>46</v>
      </c>
      <c r="E16" s="5" t="s">
        <v>27</v>
      </c>
      <c r="F16" s="5" t="str">
        <f t="array" ref="F16">INDEX('Pila de Producto (Backlog)'!$J$4:$J$20,MATCH($D16,'Pila de Producto (Backlog)'!$C$4:$C$20,0))</f>
        <v>Sprint 1</v>
      </c>
      <c r="G16" s="9">
        <f t="array" ref="G16">INDEX('Pila de Producto (Backlog)'!$H$4:$H$20,MATCH($D16,'Pila de Producto (Backlog)'!$C$4:$C$20,0))</f>
        <v>5</v>
      </c>
      <c r="H16" s="13">
        <f t="array" ref="H16">INDEX('Pila de Producto (Backlog)'!$I$4:$I$20,MATCH($D16,'Pila de Producto (Backlog)'!$C$4:$C$20,0))</f>
        <v>1.2</v>
      </c>
      <c r="I16" s="5" t="str">
        <f t="shared" si="3"/>
        <v>—</v>
      </c>
      <c r="J16" s="6" t="s">
        <v>128</v>
      </c>
      <c r="K16" s="5" t="str">
        <f t="array" ref="K16">IF(COUNTA(L16:Q16)=0,"OK (sin dependencias)",IF(SUMPRODUCT((L16:Q16&lt;&gt;"")*(COUNTIF($D$13:$D$29,L16:Q16)=0))&gt;0,"ERROR: ID no existe",IF(MAX(IFERROR(INDEX($B$13:$B$29,MATCH(L16,$D$13:$D$29,0)),0),IFERROR(INDEX($B$13:$B$29,MATCH(M16,$D$13:$D$29,0)),0),IFERROR(INDEX($B$13:$B$29,MATCH(N16,$D$13:$D$29,0)),0),IFERROR(INDEX($B$13:$B$29,MATCH(O16,$D$13:$D$29,0)),0),IFERROR(INDEX($B$13:$B$29,MATCH(P16,$D$13:$D$29,0)),0),IFERROR(INDEX($B$13:$B$29,MATCH(Q16,$D$13:$D$29,0)),0))&lt;B16,"OK","ERROR: depende de una historia posterior")))</f>
        <v>OK (sin dependencias)</v>
      </c>
    </row>
    <row r="17" ht="21.0" customHeight="1">
      <c r="B17" s="20">
        <v>5.0</v>
      </c>
      <c r="C17" s="16" t="str">
        <f t="array" ref="C17">INDEX('Pila de Producto (Backlog)'!$E$4:$E$20,MATCH($D17,'Pila de Producto (Backlog)'!$C$4:$C$20,0))</f>
        <v>Cobros QR</v>
      </c>
      <c r="D17" s="20" t="s">
        <v>52</v>
      </c>
      <c r="E17" s="20" t="s">
        <v>51</v>
      </c>
      <c r="F17" s="20" t="str">
        <f t="array" ref="F17">INDEX('Pila de Producto (Backlog)'!$J$4:$J$20,MATCH($D17,'Pila de Producto (Backlog)'!$C$4:$C$20,0))</f>
        <v>Sprint 2</v>
      </c>
      <c r="G17" s="17">
        <f t="array" ref="G17">INDEX('Pila de Producto (Backlog)'!$H$4:$H$20,MATCH($D17,'Pila de Producto (Backlog)'!$C$4:$C$20,0))</f>
        <v>3</v>
      </c>
      <c r="H17" s="18">
        <f t="array" ref="H17">INDEX('Pila de Producto (Backlog)'!$I$4:$I$20,MATCH($D17,'Pila de Producto (Backlog)'!$C$4:$C$20,0))</f>
        <v>2.67</v>
      </c>
      <c r="I17" s="20" t="str">
        <f t="shared" si="3"/>
        <v>h2</v>
      </c>
      <c r="J17" s="16" t="s">
        <v>129</v>
      </c>
      <c r="K17" s="20" t="str">
        <f t="array" ref="K17">IF(COUNTA(L17:Q17)=0,"OK (sin dependencias)",IF(SUMPRODUCT((L17:Q17&lt;&gt;"")*(COUNTIF($D$13:$D$29,L17:Q17)=0))&gt;0,"ERROR: ID no existe",IF(MAX(IFERROR(INDEX($B$13:$B$29,MATCH(L17,$D$13:$D$29,0)),0),IFERROR(INDEX($B$13:$B$29,MATCH(M17,$D$13:$D$29,0)),0),IFERROR(INDEX($B$13:$B$29,MATCH(N17,$D$13:$D$29,0)),0),IFERROR(INDEX($B$13:$B$29,MATCH(O17,$D$13:$D$29,0)),0),IFERROR(INDEX($B$13:$B$29,MATCH(P17,$D$13:$D$29,0)),0),IFERROR(INDEX($B$13:$B$29,MATCH(Q17,$D$13:$D$29,0)),0))&lt;B17,"OK","ERROR: depende de una historia posterior")))</f>
        <v>OK</v>
      </c>
      <c r="L17" s="41" t="s">
        <v>26</v>
      </c>
    </row>
    <row r="18" ht="21.0" customHeight="1">
      <c r="B18" s="20">
        <v>6.0</v>
      </c>
      <c r="C18" s="16" t="str">
        <f t="array" ref="C18">INDEX('Pila de Producto (Backlog)'!$E$4:$E$20,MATCH($D18,'Pila de Producto (Backlog)'!$C$4:$C$20,0))</f>
        <v>Retención de Tarjetas</v>
      </c>
      <c r="D18" s="20" t="s">
        <v>57</v>
      </c>
      <c r="E18" s="20" t="s">
        <v>51</v>
      </c>
      <c r="F18" s="20" t="str">
        <f t="array" ref="F18">INDEX('Pila de Producto (Backlog)'!$J$4:$J$20,MATCH($D18,'Pila de Producto (Backlog)'!$C$4:$C$20,0))</f>
        <v>Sprint 2</v>
      </c>
      <c r="G18" s="17">
        <f t="array" ref="G18">INDEX('Pila de Producto (Backlog)'!$H$4:$H$20,MATCH($D18,'Pila de Producto (Backlog)'!$C$4:$C$20,0))</f>
        <v>4</v>
      </c>
      <c r="H18" s="18">
        <f t="array" ref="H18">INDEX('Pila de Producto (Backlog)'!$I$4:$I$20,MATCH($D18,'Pila de Producto (Backlog)'!$C$4:$C$20,0))</f>
        <v>1.75</v>
      </c>
      <c r="I18" s="20" t="str">
        <f t="shared" si="3"/>
        <v>h2</v>
      </c>
      <c r="J18" s="16" t="s">
        <v>130</v>
      </c>
      <c r="K18" s="20" t="str">
        <f t="array" ref="K18">IF(COUNTA(L18:Q18)=0,"OK (sin dependencias)",IF(SUMPRODUCT((L18:Q18&lt;&gt;"")*(COUNTIF($D$13:$D$29,L18:Q18)=0))&gt;0,"ERROR: ID no existe",IF(MAX(IFERROR(INDEX($B$13:$B$29,MATCH(L18,$D$13:$D$29,0)),0),IFERROR(INDEX($B$13:$B$29,MATCH(M18,$D$13:$D$29,0)),0),IFERROR(INDEX($B$13:$B$29,MATCH(N18,$D$13:$D$29,0)),0),IFERROR(INDEX($B$13:$B$29,MATCH(O18,$D$13:$D$29,0)),0),IFERROR(INDEX($B$13:$B$29,MATCH(P18,$D$13:$D$29,0)),0),IFERROR(INDEX($B$13:$B$29,MATCH(Q18,$D$13:$D$29,0)),0))&lt;B18,"OK","ERROR: depende de una historia posterior")))</f>
        <v>OK</v>
      </c>
      <c r="L18" s="41" t="s">
        <v>26</v>
      </c>
    </row>
    <row r="19" ht="34.5" customHeight="1">
      <c r="B19" s="20">
        <v>7.0</v>
      </c>
      <c r="C19" s="16" t="str">
        <f t="array" ref="C19">INDEX('Pila de Producto (Backlog)'!$E$4:$E$20,MATCH($D19,'Pila de Producto (Backlog)'!$C$4:$C$20,0))</f>
        <v>Carga Nómina Diaria</v>
      </c>
      <c r="D19" s="20" t="s">
        <v>62</v>
      </c>
      <c r="E19" s="20" t="s">
        <v>42</v>
      </c>
      <c r="F19" s="20" t="str">
        <f t="array" ref="F19">INDEX('Pila de Producto (Backlog)'!$J$4:$J$20,MATCH($D19,'Pila de Producto (Backlog)'!$C$4:$C$20,0))</f>
        <v>Sprint 2</v>
      </c>
      <c r="G19" s="17">
        <f t="array" ref="G19">INDEX('Pila de Producto (Backlog)'!$H$4:$H$20,MATCH($D19,'Pila de Producto (Backlog)'!$C$4:$C$20,0))</f>
        <v>5</v>
      </c>
      <c r="H19" s="18">
        <f t="array" ref="H19">INDEX('Pila de Producto (Backlog)'!$I$4:$I$20,MATCH($D19,'Pila de Producto (Backlog)'!$C$4:$C$20,0))</f>
        <v>1.4</v>
      </c>
      <c r="I19" s="20" t="str">
        <f t="shared" si="3"/>
        <v>h2, h15</v>
      </c>
      <c r="J19" s="16" t="s">
        <v>131</v>
      </c>
      <c r="K19" s="20" t="str">
        <f t="array" ref="K19">IF(COUNTA(L19:Q19)=0,"OK (sin dependencias)",IF(SUMPRODUCT((L19:Q19&lt;&gt;"")*(COUNTIF($D$13:$D$29,L19:Q19)=0))&gt;0,"ERROR: ID no existe",IF(MAX(IFERROR(INDEX($B$13:$B$29,MATCH(L19,$D$13:$D$29,0)),0),IFERROR(INDEX($B$13:$B$29,MATCH(M19,$D$13:$D$29,0)),0),IFERROR(INDEX($B$13:$B$29,MATCH(N19,$D$13:$D$29,0)),0),IFERROR(INDEX($B$13:$B$29,MATCH(O19,$D$13:$D$29,0)),0),IFERROR(INDEX($B$13:$B$29,MATCH(P19,$D$13:$D$29,0)),0),IFERROR(INDEX($B$13:$B$29,MATCH(Q19,$D$13:$D$29,0)),0))&lt;B19,"OK","ERROR: depende de una historia posterior")))</f>
        <v>OK</v>
      </c>
      <c r="L19" s="41" t="s">
        <v>26</v>
      </c>
      <c r="M19" s="41" t="s">
        <v>46</v>
      </c>
    </row>
    <row r="20" ht="34.5" customHeight="1">
      <c r="B20" s="20">
        <v>8.0</v>
      </c>
      <c r="C20" s="16" t="str">
        <f t="array" ref="C20">INDEX('Pila de Producto (Backlog)'!$E$4:$E$20,MATCH($D20,'Pila de Producto (Backlog)'!$C$4:$C$20,0))</f>
        <v>Conteo Botellas/Combos</v>
      </c>
      <c r="D20" s="20" t="s">
        <v>67</v>
      </c>
      <c r="E20" s="20" t="s">
        <v>51</v>
      </c>
      <c r="F20" s="20" t="str">
        <f t="array" ref="F20">INDEX('Pila de Producto (Backlog)'!$J$4:$J$20,MATCH($D20,'Pila de Producto (Backlog)'!$C$4:$C$20,0))</f>
        <v>Sprint 2</v>
      </c>
      <c r="G20" s="17">
        <f t="array" ref="G20">INDEX('Pila de Producto (Backlog)'!$H$4:$H$20,MATCH($D20,'Pila de Producto (Backlog)'!$C$4:$C$20,0))</f>
        <v>8</v>
      </c>
      <c r="H20" s="18">
        <f t="array" ref="H20">INDEX('Pila de Producto (Backlog)'!$I$4:$I$20,MATCH($D20,'Pila de Producto (Backlog)'!$C$4:$C$20,0))</f>
        <v>1.13</v>
      </c>
      <c r="I20" s="20" t="str">
        <f t="shared" si="3"/>
        <v>h12, h2</v>
      </c>
      <c r="J20" s="16" t="s">
        <v>132</v>
      </c>
      <c r="K20" s="20" t="str">
        <f t="array" ref="K20">IF(COUNTA(L20:Q20)=0,"OK (sin dependencias)",IF(SUMPRODUCT((L20:Q20&lt;&gt;"")*(COUNTIF($D$13:$D$29,L20:Q20)=0))&gt;0,"ERROR: ID no existe",IF(MAX(IFERROR(INDEX($B$13:$B$29,MATCH(L20,$D$13:$D$29,0)),0),IFERROR(INDEX($B$13:$B$29,MATCH(M20,$D$13:$D$29,0)),0),IFERROR(INDEX($B$13:$B$29,MATCH(N20,$D$13:$D$29,0)),0),IFERROR(INDEX($B$13:$B$29,MATCH(O20,$D$13:$D$29,0)),0),IFERROR(INDEX($B$13:$B$29,MATCH(P20,$D$13:$D$29,0)),0),IFERROR(INDEX($B$13:$B$29,MATCH(Q20,$D$13:$D$29,0)),0))&lt;B20,"OK","ERROR: depende de una historia posterior")))</f>
        <v>OK</v>
      </c>
      <c r="L20" s="41" t="s">
        <v>40</v>
      </c>
      <c r="M20" s="41" t="s">
        <v>26</v>
      </c>
    </row>
    <row r="21" ht="34.5" customHeight="1">
      <c r="B21" s="30">
        <v>9.0</v>
      </c>
      <c r="C21" s="21" t="str">
        <f t="array" ref="C21">INDEX('Pila de Producto (Backlog)'!$E$4:$E$20,MATCH($D21,'Pila de Producto (Backlog)'!$C$4:$C$20,0))</f>
        <v>Liquidación por Turno</v>
      </c>
      <c r="D21" s="30" t="s">
        <v>73</v>
      </c>
      <c r="E21" s="30" t="s">
        <v>61</v>
      </c>
      <c r="F21" s="30" t="str">
        <f t="array" ref="F21">INDEX('Pila de Producto (Backlog)'!$J$4:$J$20,MATCH($D21,'Pila de Producto (Backlog)'!$C$4:$C$20,0))</f>
        <v>Sprint 3</v>
      </c>
      <c r="G21" s="23">
        <f t="array" ref="G21">INDEX('Pila de Producto (Backlog)'!$H$4:$H$20,MATCH($D21,'Pila de Producto (Backlog)'!$C$4:$C$20,0))</f>
        <v>3</v>
      </c>
      <c r="H21" s="25">
        <f t="array" ref="H21">INDEX('Pila de Producto (Backlog)'!$I$4:$I$20,MATCH($D21,'Pila de Producto (Backlog)'!$C$4:$C$20,0))</f>
        <v>3.33</v>
      </c>
      <c r="I21" s="30" t="str">
        <f t="shared" si="3"/>
        <v>h4, h13, h14, h6</v>
      </c>
      <c r="J21" s="21" t="s">
        <v>133</v>
      </c>
      <c r="K21" s="30" t="str">
        <f t="array" ref="K21">IF(COUNTA(L21:Q21)=0,"OK (sin dependencias)",IF(SUMPRODUCT((L21:Q21&lt;&gt;"")*(COUNTIF($D$13:$D$29,L21:Q21)=0))&gt;0,"ERROR: ID no existe",IF(MAX(IFERROR(INDEX($B$13:$B$29,MATCH(L21,$D$13:$D$29,0)),0),IFERROR(INDEX($B$13:$B$29,MATCH(M21,$D$13:$D$29,0)),0),IFERROR(INDEX($B$13:$B$29,MATCH(N21,$D$13:$D$29,0)),0),IFERROR(INDEX($B$13:$B$29,MATCH(O21,$D$13:$D$29,0)),0),IFERROR(INDEX($B$13:$B$29,MATCH(P21,$D$13:$D$29,0)),0),IFERROR(INDEX($B$13:$B$29,MATCH(Q21,$D$13:$D$29,0)),0))&lt;B21,"OK","ERROR: depende de una historia posterior")))</f>
        <v>OK</v>
      </c>
      <c r="L21" s="41" t="s">
        <v>67</v>
      </c>
      <c r="M21" s="41" t="s">
        <v>57</v>
      </c>
      <c r="N21" s="41" t="s">
        <v>52</v>
      </c>
      <c r="O21" s="41" t="s">
        <v>62</v>
      </c>
    </row>
    <row r="22" ht="34.5" customHeight="1">
      <c r="B22" s="30">
        <v>10.0</v>
      </c>
      <c r="C22" s="21" t="str">
        <f t="array" ref="C22">INDEX('Pila de Producto (Backlog)'!$E$4:$E$20,MATCH($D22,'Pila de Producto (Backlog)'!$C$4:$C$20,0))</f>
        <v>Stock Inicial Barra</v>
      </c>
      <c r="D22" s="30" t="s">
        <v>78</v>
      </c>
      <c r="E22" s="30" t="s">
        <v>61</v>
      </c>
      <c r="F22" s="30" t="str">
        <f t="array" ref="F22">INDEX('Pila de Producto (Backlog)'!$J$4:$J$20,MATCH($D22,'Pila de Producto (Backlog)'!$C$4:$C$20,0))</f>
        <v>Sprint 3</v>
      </c>
      <c r="G22" s="23">
        <f t="array" ref="G22">INDEX('Pila de Producto (Backlog)'!$H$4:$H$20,MATCH($D22,'Pila de Producto (Backlog)'!$C$4:$C$20,0))</f>
        <v>5</v>
      </c>
      <c r="H22" s="25">
        <f t="array" ref="H22">INDEX('Pila de Producto (Backlog)'!$I$4:$I$20,MATCH($D22,'Pila de Producto (Backlog)'!$C$4:$C$20,0))</f>
        <v>1.8</v>
      </c>
      <c r="I22" s="30" t="str">
        <f t="shared" si="3"/>
        <v>h4, h12</v>
      </c>
      <c r="J22" s="21" t="s">
        <v>134</v>
      </c>
      <c r="K22" s="30" t="str">
        <f t="array" ref="K22">IF(COUNTA(L22:Q22)=0,"OK (sin dependencias)",IF(SUMPRODUCT((L22:Q22&lt;&gt;"")*(COUNTIF($D$13:$D$29,L22:Q22)=0))&gt;0,"ERROR: ID no existe",IF(MAX(IFERROR(INDEX($B$13:$B$29,MATCH(L22,$D$13:$D$29,0)),0),IFERROR(INDEX($B$13:$B$29,MATCH(M22,$D$13:$D$29,0)),0),IFERROR(INDEX($B$13:$B$29,MATCH(N22,$D$13:$D$29,0)),0),IFERROR(INDEX($B$13:$B$29,MATCH(O22,$D$13:$D$29,0)),0),IFERROR(INDEX($B$13:$B$29,MATCH(P22,$D$13:$D$29,0)),0),IFERROR(INDEX($B$13:$B$29,MATCH(Q22,$D$13:$D$29,0)),0))&lt;B22,"OK","ERROR: depende de una historia posterior")))</f>
        <v>OK</v>
      </c>
      <c r="L22" s="41" t="s">
        <v>67</v>
      </c>
      <c r="M22" s="41" t="s">
        <v>40</v>
      </c>
    </row>
    <row r="23" ht="34.5" customHeight="1">
      <c r="B23" s="30">
        <v>11.0</v>
      </c>
      <c r="C23" s="21" t="str">
        <f t="array" ref="C23">INDEX('Pila de Producto (Backlog)'!$E$4:$E$20,MATCH($D23,'Pila de Producto (Backlog)'!$C$4:$C$20,0))</f>
        <v>Pago Rápido Personal</v>
      </c>
      <c r="D23" s="30" t="s">
        <v>95</v>
      </c>
      <c r="E23" s="30" t="s">
        <v>61</v>
      </c>
      <c r="F23" s="30" t="str">
        <f t="array" ref="F23">INDEX('Pila de Producto (Backlog)'!$J$4:$J$20,MATCH($D23,'Pila de Producto (Backlog)'!$C$4:$C$20,0))</f>
        <v>Sprint 3</v>
      </c>
      <c r="G23" s="23">
        <f t="array" ref="G23">INDEX('Pila de Producto (Backlog)'!$H$4:$H$20,MATCH($D23,'Pila de Producto (Backlog)'!$C$4:$C$20,0))</f>
        <v>5</v>
      </c>
      <c r="H23" s="25">
        <f t="array" ref="H23">INDEX('Pila de Producto (Backlog)'!$I$4:$I$20,MATCH($D23,'Pila de Producto (Backlog)'!$C$4:$C$20,0))</f>
        <v>1.6</v>
      </c>
      <c r="I23" s="30" t="str">
        <f t="shared" si="3"/>
        <v>h6, h15</v>
      </c>
      <c r="J23" s="21" t="s">
        <v>135</v>
      </c>
      <c r="K23" s="30" t="str">
        <f t="array" ref="K23">IF(COUNTA(L23:Q23)=0,"OK (sin dependencias)",IF(SUMPRODUCT((L23:Q23&lt;&gt;"")*(COUNTIF($D$13:$D$29,L23:Q23)=0))&gt;0,"ERROR: ID no existe",IF(MAX(IFERROR(INDEX($B$13:$B$29,MATCH(L23,$D$13:$D$29,0)),0),IFERROR(INDEX($B$13:$B$29,MATCH(M23,$D$13:$D$29,0)),0),IFERROR(INDEX($B$13:$B$29,MATCH(N23,$D$13:$D$29,0)),0),IFERROR(INDEX($B$13:$B$29,MATCH(O23,$D$13:$D$29,0)),0),IFERROR(INDEX($B$13:$B$29,MATCH(P23,$D$13:$D$29,0)),0),IFERROR(INDEX($B$13:$B$29,MATCH(Q23,$D$13:$D$29,0)),0))&lt;B23,"OK","ERROR: depende de una historia posterior")))</f>
        <v>OK</v>
      </c>
      <c r="L23" s="41" t="s">
        <v>62</v>
      </c>
      <c r="M23" s="41" t="s">
        <v>46</v>
      </c>
    </row>
    <row r="24" ht="34.5" customHeight="1">
      <c r="B24" s="30">
        <v>12.0</v>
      </c>
      <c r="C24" s="21" t="str">
        <f t="array" ref="C24">INDEX('Pila de Producto (Backlog)'!$E$4:$E$20,MATCH($D24,'Pila de Producto (Backlog)'!$C$4:$C$20,0))</f>
        <v>Pago Deudas Atrasadas</v>
      </c>
      <c r="D24" s="30" t="s">
        <v>98</v>
      </c>
      <c r="E24" s="30" t="s">
        <v>61</v>
      </c>
      <c r="F24" s="30" t="str">
        <f t="array" ref="F24">INDEX('Pila de Producto (Backlog)'!$J$4:$J$20,MATCH($D24,'Pila de Producto (Backlog)'!$C$4:$C$20,0))</f>
        <v>Sprint 3</v>
      </c>
      <c r="G24" s="23">
        <f t="array" ref="G24">INDEX('Pila de Producto (Backlog)'!$H$4:$H$20,MATCH($D24,'Pila de Producto (Backlog)'!$C$4:$C$20,0))</f>
        <v>8</v>
      </c>
      <c r="H24" s="25">
        <f t="array" ref="H24">INDEX('Pila de Producto (Backlog)'!$I$4:$I$20,MATCH($D24,'Pila de Producto (Backlog)'!$C$4:$C$20,0))</f>
        <v>0.75</v>
      </c>
      <c r="I24" s="30" t="str">
        <f t="shared" si="3"/>
        <v>h16, h15</v>
      </c>
      <c r="J24" s="21" t="s">
        <v>136</v>
      </c>
      <c r="K24" s="30" t="str">
        <f t="array" ref="K24">IF(COUNTA(L24:Q24)=0,"OK (sin dependencias)",IF(SUMPRODUCT((L24:Q24&lt;&gt;"")*(COUNTIF($D$13:$D$29,L24:Q24)=0))&gt;0,"ERROR: ID no existe",IF(MAX(IFERROR(INDEX($B$13:$B$29,MATCH(L24,$D$13:$D$29,0)),0),IFERROR(INDEX($B$13:$B$29,MATCH(M24,$D$13:$D$29,0)),0),IFERROR(INDEX($B$13:$B$29,MATCH(N24,$D$13:$D$29,0)),0),IFERROR(INDEX($B$13:$B$29,MATCH(O24,$D$13:$D$29,0)),0),IFERROR(INDEX($B$13:$B$29,MATCH(P24,$D$13:$D$29,0)),0),IFERROR(INDEX($B$13:$B$29,MATCH(Q24,$D$13:$D$29,0)),0))&lt;B24,"OK","ERROR: depende de una historia posterior")))</f>
        <v>OK</v>
      </c>
      <c r="L24" s="41" t="s">
        <v>95</v>
      </c>
      <c r="M24" s="41" t="s">
        <v>46</v>
      </c>
    </row>
    <row r="25" ht="34.5" customHeight="1">
      <c r="B25" s="39">
        <v>13.0</v>
      </c>
      <c r="C25" s="27" t="str">
        <f t="array" ref="C25">INDEX('Pila de Producto (Backlog)'!$E$4:$E$20,MATCH($D25,'Pila de Producto (Backlog)'!$C$4:$C$20,0))</f>
        <v>Balance Express</v>
      </c>
      <c r="D25" s="39" t="s">
        <v>104</v>
      </c>
      <c r="E25" s="39" t="s">
        <v>137</v>
      </c>
      <c r="F25" s="39" t="str">
        <f t="array" ref="F25">INDEX('Pila de Producto (Backlog)'!$J$4:$J$20,MATCH($D25,'Pila de Producto (Backlog)'!$C$4:$C$20,0))</f>
        <v>Sprint 4</v>
      </c>
      <c r="G25" s="28">
        <f t="array" ref="G25">INDEX('Pila de Producto (Backlog)'!$H$4:$H$20,MATCH($D25,'Pila de Producto (Backlog)'!$C$4:$C$20,0))</f>
        <v>3</v>
      </c>
      <c r="H25" s="29">
        <f t="array" ref="H25">INDEX('Pila de Producto (Backlog)'!$I$4:$I$20,MATCH($D25,'Pila de Producto (Backlog)'!$C$4:$C$20,0))</f>
        <v>3.33</v>
      </c>
      <c r="I25" s="39" t="str">
        <f t="shared" si="3"/>
        <v>h13, h14, h4, h5, h16, h17</v>
      </c>
      <c r="J25" s="27" t="s">
        <v>138</v>
      </c>
      <c r="K25" s="39" t="str">
        <f t="array" ref="K25">IF(COUNTA(L25:Q25)=0,"OK (sin dependencias)",IF(SUMPRODUCT((L25:Q25&lt;&gt;"")*(COUNTIF($D$13:$D$29,L25:Q25)=0))&gt;0,"ERROR: ID no existe",IF(MAX(IFERROR(INDEX($B$13:$B$29,MATCH(L25,$D$13:$D$29,0)),0),IFERROR(INDEX($B$13:$B$29,MATCH(M25,$D$13:$D$29,0)),0),IFERROR(INDEX($B$13:$B$29,MATCH(N25,$D$13:$D$29,0)),0),IFERROR(INDEX($B$13:$B$29,MATCH(O25,$D$13:$D$29,0)),0),IFERROR(INDEX($B$13:$B$29,MATCH(P25,$D$13:$D$29,0)),0),IFERROR(INDEX($B$13:$B$29,MATCH(Q25,$D$13:$D$29,0)),0))&lt;B25,"OK","ERROR: depende de una historia posterior")))</f>
        <v>OK</v>
      </c>
      <c r="L25" s="41" t="s">
        <v>57</v>
      </c>
      <c r="M25" s="41" t="s">
        <v>52</v>
      </c>
      <c r="N25" s="41" t="s">
        <v>67</v>
      </c>
      <c r="O25" s="41" t="s">
        <v>73</v>
      </c>
      <c r="P25" s="41" t="s">
        <v>95</v>
      </c>
      <c r="Q25" s="41" t="s">
        <v>98</v>
      </c>
    </row>
    <row r="26" ht="34.5" customHeight="1">
      <c r="B26" s="39">
        <v>14.0</v>
      </c>
      <c r="C26" s="27" t="str">
        <f t="array" ref="C26">INDEX('Pila de Producto (Backlog)'!$E$4:$E$20,MATCH($D26,'Pila de Producto (Backlog)'!$C$4:$C$20,0))</f>
        <v>Arqueo Efectivo Físico</v>
      </c>
      <c r="D26" s="39" t="s">
        <v>108</v>
      </c>
      <c r="E26" s="39" t="s">
        <v>137</v>
      </c>
      <c r="F26" s="39" t="str">
        <f t="array" ref="F26">INDEX('Pila de Producto (Backlog)'!$J$4:$J$20,MATCH($D26,'Pila de Producto (Backlog)'!$C$4:$C$20,0))</f>
        <v>Sprint 4</v>
      </c>
      <c r="G26" s="28">
        <f t="array" ref="G26">INDEX('Pila de Producto (Backlog)'!$H$4:$H$20,MATCH($D26,'Pila de Producto (Backlog)'!$C$4:$C$20,0))</f>
        <v>3</v>
      </c>
      <c r="H26" s="29">
        <f t="array" ref="H26">INDEX('Pila de Producto (Backlog)'!$I$4:$I$20,MATCH($D26,'Pila de Producto (Backlog)'!$C$4:$C$20,0))</f>
        <v>3</v>
      </c>
      <c r="I26" s="39" t="str">
        <f t="shared" si="3"/>
        <v>h5, h16, h17</v>
      </c>
      <c r="J26" s="27" t="s">
        <v>139</v>
      </c>
      <c r="K26" s="39" t="str">
        <f t="array" ref="K26">IF(COUNTA(L26:Q26)=0,"OK (sin dependencias)",IF(SUMPRODUCT((L26:Q26&lt;&gt;"")*(COUNTIF($D$13:$D$29,L26:Q26)=0))&gt;0,"ERROR: ID no existe",IF(MAX(IFERROR(INDEX($B$13:$B$29,MATCH(L26,$D$13:$D$29,0)),0),IFERROR(INDEX($B$13:$B$29,MATCH(M26,$D$13:$D$29,0)),0),IFERROR(INDEX($B$13:$B$29,MATCH(N26,$D$13:$D$29,0)),0),IFERROR(INDEX($B$13:$B$29,MATCH(O26,$D$13:$D$29,0)),0),IFERROR(INDEX($B$13:$B$29,MATCH(P26,$D$13:$D$29,0)),0),IFERROR(INDEX($B$13:$B$29,MATCH(Q26,$D$13:$D$29,0)),0))&lt;B26,"OK","ERROR: depende de una historia posterior")))</f>
        <v>OK</v>
      </c>
      <c r="L26" s="41" t="s">
        <v>73</v>
      </c>
      <c r="M26" s="41" t="s">
        <v>95</v>
      </c>
      <c r="N26" s="41" t="s">
        <v>98</v>
      </c>
    </row>
    <row r="27" ht="34.5" customHeight="1">
      <c r="B27" s="39">
        <v>15.0</v>
      </c>
      <c r="C27" s="27" t="str">
        <f t="array" ref="C27">INDEX('Pila de Producto (Backlog)'!$E$4:$E$20,MATCH($D27,'Pila de Producto (Backlog)'!$C$4:$C$20,0))</f>
        <v>Dashboard Ejecutivo</v>
      </c>
      <c r="D27" s="39" t="s">
        <v>112</v>
      </c>
      <c r="E27" s="39" t="s">
        <v>137</v>
      </c>
      <c r="F27" s="39" t="str">
        <f t="array" ref="F27">INDEX('Pila de Producto (Backlog)'!$J$4:$J$20,MATCH($D27,'Pila de Producto (Backlog)'!$C$4:$C$20,0))</f>
        <v>Sprint 4</v>
      </c>
      <c r="G27" s="28">
        <f t="array" ref="G27">INDEX('Pila de Producto (Backlog)'!$H$4:$H$20,MATCH($D27,'Pila de Producto (Backlog)'!$C$4:$C$20,0))</f>
        <v>3</v>
      </c>
      <c r="H27" s="29">
        <f t="array" ref="H27">INDEX('Pila de Producto (Backlog)'!$I$4:$I$20,MATCH($D27,'Pila de Producto (Backlog)'!$C$4:$C$20,0))</f>
        <v>2.67</v>
      </c>
      <c r="I27" s="39" t="str">
        <f t="shared" si="3"/>
        <v>h4, h13, h14, h8</v>
      </c>
      <c r="J27" s="27" t="s">
        <v>140</v>
      </c>
      <c r="K27" s="39" t="str">
        <f t="array" ref="K27">IF(COUNTA(L27:Q27)=0,"OK (sin dependencias)",IF(SUMPRODUCT((L27:Q27&lt;&gt;"")*(COUNTIF($D$13:$D$29,L27:Q27)=0))&gt;0,"ERROR: ID no existe",IF(MAX(IFERROR(INDEX($B$13:$B$29,MATCH(L27,$D$13:$D$29,0)),0),IFERROR(INDEX($B$13:$B$29,MATCH(M27,$D$13:$D$29,0)),0),IFERROR(INDEX($B$13:$B$29,MATCH(N27,$D$13:$D$29,0)),0),IFERROR(INDEX($B$13:$B$29,MATCH(O27,$D$13:$D$29,0)),0),IFERROR(INDEX($B$13:$B$29,MATCH(P27,$D$13:$D$29,0)),0),IFERROR(INDEX($B$13:$B$29,MATCH(Q27,$D$13:$D$29,0)),0))&lt;B27,"OK","ERROR: depende de una historia posterior")))</f>
        <v>OK</v>
      </c>
      <c r="L27" s="41" t="s">
        <v>67</v>
      </c>
      <c r="M27" s="41" t="s">
        <v>57</v>
      </c>
      <c r="N27" s="41" t="s">
        <v>52</v>
      </c>
      <c r="O27" s="41" t="s">
        <v>108</v>
      </c>
    </row>
    <row r="28" ht="34.5" customHeight="1">
      <c r="B28" s="39">
        <v>16.0</v>
      </c>
      <c r="C28" s="27" t="str">
        <f t="array" ref="C28">INDEX('Pila de Producto (Backlog)'!$E$4:$E$20,MATCH($D28,'Pila de Producto (Backlog)'!$C$4:$C$20,0))</f>
        <v>Cierre Seguro de Noche</v>
      </c>
      <c r="D28" s="39" t="s">
        <v>117</v>
      </c>
      <c r="E28" s="39" t="s">
        <v>137</v>
      </c>
      <c r="F28" s="39" t="str">
        <f t="array" ref="F28">INDEX('Pila de Producto (Backlog)'!$J$4:$J$20,MATCH($D28,'Pila de Producto (Backlog)'!$C$4:$C$20,0))</f>
        <v>Sprint 4</v>
      </c>
      <c r="G28" s="28">
        <f t="array" ref="G28">INDEX('Pila de Producto (Backlog)'!$H$4:$H$20,MATCH($D28,'Pila de Producto (Backlog)'!$C$4:$C$20,0))</f>
        <v>3</v>
      </c>
      <c r="H28" s="29">
        <f t="array" ref="H28">INDEX('Pila de Producto (Backlog)'!$I$4:$I$20,MATCH($D28,'Pila de Producto (Backlog)'!$C$4:$C$20,0))</f>
        <v>2.67</v>
      </c>
      <c r="I28" s="39" t="str">
        <f t="shared" si="3"/>
        <v>h2, h7, h8</v>
      </c>
      <c r="J28" s="27" t="s">
        <v>141</v>
      </c>
      <c r="K28" s="39" t="str">
        <f t="array" ref="K28">IF(COUNTA(L28:Q28)=0,"OK (sin dependencias)",IF(SUMPRODUCT((L28:Q28&lt;&gt;"")*(COUNTIF($D$13:$D$29,L28:Q28)=0))&gt;0,"ERROR: ID no existe",IF(MAX(IFERROR(INDEX($B$13:$B$29,MATCH(L28,$D$13:$D$29,0)),0),IFERROR(INDEX($B$13:$B$29,MATCH(M28,$D$13:$D$29,0)),0),IFERROR(INDEX($B$13:$B$29,MATCH(N28,$D$13:$D$29,0)),0),IFERROR(INDEX($B$13:$B$29,MATCH(O28,$D$13:$D$29,0)),0),IFERROR(INDEX($B$13:$B$29,MATCH(P28,$D$13:$D$29,0)),0),IFERROR(INDEX($B$13:$B$29,MATCH(Q28,$D$13:$D$29,0)),0))&lt;B28,"OK","ERROR: depende de una historia posterior")))</f>
        <v>OK</v>
      </c>
      <c r="L28" s="41" t="s">
        <v>26</v>
      </c>
      <c r="M28" s="41" t="s">
        <v>104</v>
      </c>
      <c r="N28" s="41" t="s">
        <v>108</v>
      </c>
    </row>
    <row r="29" ht="48.0" customHeight="1">
      <c r="B29" s="39">
        <v>17.0</v>
      </c>
      <c r="C29" s="27" t="str">
        <f t="array" ref="C29">INDEX('Pila de Producto (Backlog)'!$E$4:$E$20,MATCH($D29,'Pila de Producto (Backlog)'!$C$4:$C$20,0))</f>
        <v>Vista Táctil Bodega</v>
      </c>
      <c r="D29" s="39" t="s">
        <v>121</v>
      </c>
      <c r="E29" s="39" t="s">
        <v>42</v>
      </c>
      <c r="F29" s="39" t="str">
        <f t="array" ref="F29">INDEX('Pila de Producto (Backlog)'!$J$4:$J$20,MATCH($D29,'Pila de Producto (Backlog)'!$C$4:$C$20,0))</f>
        <v>Sprint 4</v>
      </c>
      <c r="G29" s="28">
        <f t="array" ref="G29">INDEX('Pila de Producto (Backlog)'!$H$4:$H$20,MATCH($D29,'Pila de Producto (Backlog)'!$C$4:$C$20,0))</f>
        <v>8</v>
      </c>
      <c r="H29" s="29">
        <f t="array" ref="H29">INDEX('Pila de Producto (Backlog)'!$I$4:$I$20,MATCH($D29,'Pila de Producto (Backlog)'!$C$4:$C$20,0))</f>
        <v>0.63</v>
      </c>
      <c r="I29" s="39" t="str">
        <f t="shared" si="3"/>
        <v>h11</v>
      </c>
      <c r="J29" s="27" t="s">
        <v>142</v>
      </c>
      <c r="K29" s="39" t="str">
        <f t="array" ref="K29">IF(COUNTA(L29:Q29)=0,"OK (sin dependencias)",IF(SUMPRODUCT((L29:Q29&lt;&gt;"")*(COUNTIF($D$13:$D$29,L29:Q29)=0))&gt;0,"ERROR: ID no existe",IF(MAX(IFERROR(INDEX($B$13:$B$29,MATCH(L29,$D$13:$D$29,0)),0),IFERROR(INDEX($B$13:$B$29,MATCH(M29,$D$13:$D$29,0)),0),IFERROR(INDEX($B$13:$B$29,MATCH(N29,$D$13:$D$29,0)),0),IFERROR(INDEX($B$13:$B$29,MATCH(O29,$D$13:$D$29,0)),0),IFERROR(INDEX($B$13:$B$29,MATCH(P29,$D$13:$D$29,0)),0),IFERROR(INDEX($B$13:$B$29,MATCH(Q29,$D$13:$D$29,0)),0))&lt;B29,"OK","ERROR: depende de una historia posterior")))</f>
        <v>OK</v>
      </c>
      <c r="L29" s="41" t="s">
        <v>36</v>
      </c>
    </row>
    <row r="30" ht="15.75" customHeight="1"/>
    <row r="31" ht="15.75" customHeight="1">
      <c r="B31" s="42" t="str">
        <f>"Resultado de la validación: "&amp;COUNTIF(K13:K29,"OK*")&amp;" de "&amp;COUNTA(D13:D29)&amp;" historias sin errores de dependencia."</f>
        <v>Resultado de la validación: 17 de 17 historias sin errores de dependencia.</v>
      </c>
      <c r="C31" s="43"/>
      <c r="D31" s="43"/>
      <c r="E31" s="43"/>
      <c r="F31" s="43"/>
      <c r="G31" s="43"/>
      <c r="H31" s="43"/>
      <c r="I31" s="43"/>
      <c r="J31" s="44"/>
    </row>
    <row r="32" ht="15.75" customHeight="1"/>
    <row r="33" ht="15.75" customHeight="1">
      <c r="B33" s="45" t="s">
        <v>143</v>
      </c>
    </row>
    <row r="34" ht="31.5" customHeight="1">
      <c r="B34" s="46" t="s">
        <v>144</v>
      </c>
    </row>
    <row r="35" ht="31.5" customHeight="1">
      <c r="B35" s="46" t="s">
        <v>145</v>
      </c>
    </row>
    <row r="36" ht="31.5" customHeight="1">
      <c r="B36" s="46" t="s">
        <v>146</v>
      </c>
    </row>
    <row r="37" ht="31.5" customHeight="1">
      <c r="B37" s="46" t="s">
        <v>147</v>
      </c>
    </row>
    <row r="38" ht="18.0" customHeight="1">
      <c r="B38" s="46" t="s">
        <v>148</v>
      </c>
    </row>
    <row r="39" ht="45.75" customHeight="1">
      <c r="B39" s="46" t="s">
        <v>149</v>
      </c>
    </row>
    <row r="40" ht="31.5" customHeight="1">
      <c r="B40" s="46" t="s">
        <v>150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37:J37"/>
    <mergeCell ref="B38:J38"/>
    <mergeCell ref="B39:J39"/>
    <mergeCell ref="B40:J40"/>
    <mergeCell ref="B1:J1"/>
    <mergeCell ref="B11:J11"/>
    <mergeCell ref="B31:J31"/>
    <mergeCell ref="B33:J33"/>
    <mergeCell ref="B34:J34"/>
    <mergeCell ref="B35:J35"/>
    <mergeCell ref="B36:J3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2" width="14.0"/>
    <col customWidth="1" min="3" max="3" width="70.0"/>
    <col customWidth="1" min="4" max="4" width="34.0"/>
    <col customWidth="1" min="5" max="5" width="20.0"/>
    <col customWidth="1" min="6" max="6" width="13.0"/>
    <col customWidth="1" min="7" max="7" width="16.0"/>
    <col customWidth="1" min="8" max="26" width="8.71"/>
  </cols>
  <sheetData>
    <row r="1" ht="27.75" customHeight="1">
      <c r="B1" s="1" t="s">
        <v>1</v>
      </c>
    </row>
    <row r="2" ht="27.75" customHeight="1">
      <c r="B2" s="3" t="s">
        <v>3</v>
      </c>
    </row>
    <row r="4" ht="43.5" customHeight="1">
      <c r="B4" s="4" t="s">
        <v>6</v>
      </c>
      <c r="C4" s="4" t="s">
        <v>9</v>
      </c>
      <c r="D4" s="4" t="s">
        <v>12</v>
      </c>
      <c r="E4" s="4" t="s">
        <v>14</v>
      </c>
      <c r="F4" s="4" t="s">
        <v>16</v>
      </c>
      <c r="G4" s="4" t="s">
        <v>19</v>
      </c>
    </row>
    <row r="5" ht="21.75" customHeight="1">
      <c r="B5" s="10" t="str">
        <f>"Sprint 1 — Datos maestros, apertura de sesión e inventario inicial  ·  "&amp;'Plan de Sprints'!E4&amp;" puntos de historia"</f>
        <v>Sprint 1 — Datos maestros, apertura de sesión e inventario inicial  ·  18 puntos de historia</v>
      </c>
      <c r="C5" s="11"/>
      <c r="D5" s="11"/>
      <c r="E5" s="11"/>
      <c r="F5" s="11"/>
      <c r="G5" s="12"/>
    </row>
    <row r="6" ht="46.5" customHeight="1">
      <c r="B6" s="5" t="s">
        <v>26</v>
      </c>
      <c r="C6" s="6" t="str">
        <f t="array" ref="C6">INDEX('Pila de Producto (Backlog)'!$D$4:$D$20,MATCH(B6,'Pila de Producto (Backlog)'!$C$4:$C$20,0))</f>
        <v>Como Administrador (Don Ludo), quiero abrir una nueva sesión nocturna seleccionando la fecha con detección automática del día de la semana, para habilitar las operaciones de venta y arqueo de la fecha.</v>
      </c>
      <c r="D6" s="14" t="s">
        <v>33</v>
      </c>
      <c r="E6" s="6"/>
      <c r="F6" s="5" t="s">
        <v>35</v>
      </c>
      <c r="G6" s="9"/>
    </row>
    <row r="7" ht="46.5" customHeight="1">
      <c r="B7" s="5" t="s">
        <v>36</v>
      </c>
      <c r="C7" s="6" t="str">
        <f t="array" ref="C7">INDEX('Pila de Producto (Backlog)'!$D$4:$D$20,MATCH(B7,'Pila de Producto (Backlog)'!$C$4:$C$20,0))</f>
        <v>Como Administrador, quiero modificar el stock de bodega con botones de pasos (-10, -1, +1, +10) o edición directa con guardado automático, para registrar entradas y mermas en segundos sin recargar la página.</v>
      </c>
      <c r="D7" s="14" t="s">
        <v>33</v>
      </c>
      <c r="E7" s="6"/>
      <c r="F7" s="5" t="s">
        <v>35</v>
      </c>
      <c r="G7" s="9"/>
    </row>
    <row r="8" ht="46.5" customHeight="1">
      <c r="B8" s="5" t="s">
        <v>40</v>
      </c>
      <c r="C8" s="6" t="str">
        <f t="array" ref="C8">INDEX('Pila de Producto (Backlog)'!$D$4:$D$20,MATCH(B8,'Pila de Producto (Backlog)'!$C$4:$C$20,0))</f>
        <v>Como Bartender o Administrador, quiero registrar las cajas y botellas que se suben de la bodega central a cada barra al inicio del turno, para fijar el stock de apertura por punto de despacho.</v>
      </c>
      <c r="D8" s="14" t="s">
        <v>33</v>
      </c>
      <c r="E8" s="6"/>
      <c r="F8" s="5" t="s">
        <v>35</v>
      </c>
      <c r="G8" s="9"/>
    </row>
    <row r="9" ht="46.5" customHeight="1">
      <c r="B9" s="5" t="s">
        <v>46</v>
      </c>
      <c r="C9" s="6" t="str">
        <f t="array" ref="C9">INDEX('Pila de Producto (Backlog)'!$D$4:$D$20,MATCH(B9,'Pila de Producto (Backlog)'!$C$4:$C$20,0))</f>
        <v>Como Administrador (Don Ludo), quiero gestionar la nómina de trabajadores con su nombre, celular, cargo normalizado (MESERO, BARTENDER, SEGURIDAD, LIMPIEZA) y jornal habitual, para tener la plantilla centralizada.</v>
      </c>
      <c r="D9" s="14" t="s">
        <v>33</v>
      </c>
      <c r="E9" s="6"/>
      <c r="F9" s="5" t="s">
        <v>35</v>
      </c>
      <c r="G9" s="9"/>
    </row>
    <row r="10" ht="21.75" customHeight="1">
      <c r="B10" s="10" t="str">
        <f>"Sprint 2 — Configuración del turno y ventas en vivo  ·  "&amp;'Plan de Sprints'!E5&amp;" puntos de historia"</f>
        <v>Sprint 2 — Configuración del turno y ventas en vivo  ·  20 puntos de historia</v>
      </c>
      <c r="C10" s="11"/>
      <c r="D10" s="11"/>
      <c r="E10" s="11"/>
      <c r="F10" s="11"/>
      <c r="G10" s="12"/>
    </row>
    <row r="11" ht="46.5" customHeight="1">
      <c r="B11" s="20" t="s">
        <v>52</v>
      </c>
      <c r="C11" s="16" t="str">
        <f t="array" ref="C11">INDEX('Pila de Producto (Backlog)'!$D$4:$D$20,MATCH(B11,'Pila de Producto (Backlog)'!$C$4:$C$20,0))</f>
        <v>Como Cajero o Mesero, quiero registrar cobros por QR seleccionando Yasta o Yape con sus logos oficiales e indicando el monto, para registrar transferencias bancarias de forma intuitiva.</v>
      </c>
      <c r="D11" s="24" t="s">
        <v>33</v>
      </c>
      <c r="E11" s="16"/>
      <c r="F11" s="20" t="s">
        <v>35</v>
      </c>
      <c r="G11" s="17"/>
    </row>
    <row r="12" ht="46.5" customHeight="1">
      <c r="B12" s="20" t="s">
        <v>57</v>
      </c>
      <c r="C12" s="16" t="str">
        <f t="array" ref="C12">INDEX('Pila de Producto (Backlog)'!$D$4:$D$20,MATCH(B12,'Pila de Producto (Backlog)'!$C$4:$C$20,0))</f>
        <v>Como Administrador (Don Ludo), quiero que al ingresar el voucher de tarjeta el sistema calcule la retención de la comisión del banco y el monto neto real que ingresa a la cuenta bancaria, para conocer la liquidez real.</v>
      </c>
      <c r="D12" s="24" t="s">
        <v>33</v>
      </c>
      <c r="E12" s="16"/>
      <c r="F12" s="20" t="s">
        <v>35</v>
      </c>
      <c r="G12" s="17"/>
    </row>
    <row r="13" ht="46.5" customHeight="1">
      <c r="B13" s="20" t="s">
        <v>62</v>
      </c>
      <c r="C13" s="16" t="str">
        <f t="array" ref="C13">INDEX('Pila de Producto (Backlog)'!$D$4:$D$20,MATCH(B13,'Pila de Producto (Backlog)'!$C$4:$C$20,0))</f>
        <v>Como Administrador, quiero que al abrir la noche se cargue automáticamente la nómina del personal programado para ese día con su jornal pactado, para liquidar los pagos del turno sin reescribir la lista.</v>
      </c>
      <c r="D13" s="24" t="s">
        <v>33</v>
      </c>
      <c r="E13" s="16"/>
      <c r="F13" s="20" t="s">
        <v>35</v>
      </c>
      <c r="G13" s="17"/>
    </row>
    <row r="14" ht="46.5" customHeight="1">
      <c r="B14" s="20" t="s">
        <v>67</v>
      </c>
      <c r="C14" s="16" t="str">
        <f t="array" ref="C14">INDEX('Pila de Producto (Backlog)'!$D$4:$D$20,MATCH(B14,'Pila de Producto (Backlog)'!$C$4:$C$20,0))</f>
        <v>Como Administrador, quiero registrar el conteo de botellas sobrantes al final de la noche en cada barra para que el sistema calcule automáticamente los combos vendidos y botellas extra, para determinar las ventas reales.</v>
      </c>
      <c r="D14" s="24" t="s">
        <v>33</v>
      </c>
      <c r="E14" s="16"/>
      <c r="F14" s="20" t="s">
        <v>35</v>
      </c>
      <c r="G14" s="17"/>
    </row>
    <row r="15" ht="21.75" customHeight="1">
      <c r="B15" s="10" t="str">
        <f>"Sprint 3 — Liquidación, pagos y cierres operativos  ·  "&amp;'Plan de Sprints'!E6&amp;" puntos de historia"</f>
        <v>Sprint 3 — Liquidación, pagos y cierres operativos  ·  21 puntos de historia</v>
      </c>
      <c r="C15" s="11"/>
      <c r="D15" s="11"/>
      <c r="E15" s="11"/>
      <c r="F15" s="11"/>
      <c r="G15" s="12"/>
    </row>
    <row r="16" ht="46.5" customHeight="1">
      <c r="B16" s="30" t="s">
        <v>73</v>
      </c>
      <c r="C16" s="21" t="str">
        <f t="array" ref="C16">INDEX('Pila de Producto (Backlog)'!$D$4:$D$20,MATCH(B16,'Pila de Producto (Backlog)'!$C$4:$C$20,0))</f>
        <v>Como Administrador (Don Ludo), quiero ver en un solo cuadro el total vendido en bebidas, lo cobrado por QR, lo tarjeteado y el efectivo neto que debe entregar cada bartender, para liquidar el turno sin diferencias.</v>
      </c>
      <c r="D16" s="36" t="s">
        <v>33</v>
      </c>
      <c r="E16" s="21"/>
      <c r="F16" s="30" t="s">
        <v>35</v>
      </c>
      <c r="G16" s="23"/>
    </row>
    <row r="17" ht="46.5" customHeight="1">
      <c r="B17" s="30" t="s">
        <v>78</v>
      </c>
      <c r="C17" s="21" t="str">
        <f t="array" ref="C17">INDEX('Pila de Producto (Backlog)'!$D$4:$D$20,MATCH(B17,'Pila de Producto (Backlog)'!$C$4:$C$20,0))</f>
        <v>Como Encargado de Barra, quiero sincronizar el inventario de apertura copiando automáticamente los saldos finales de la noche anterior, para no tener que recontar ni digitar de nuevo el stock base.</v>
      </c>
      <c r="D17" s="36" t="s">
        <v>33</v>
      </c>
      <c r="E17" s="21"/>
      <c r="F17" s="30" t="s">
        <v>35</v>
      </c>
      <c r="G17" s="23"/>
    </row>
    <row r="18" ht="46.5" customHeight="1">
      <c r="B18" s="30" t="s">
        <v>95</v>
      </c>
      <c r="C18" s="21" t="str">
        <f t="array" ref="C18">INDEX('Pila de Producto (Backlog)'!$D$4:$D$20,MATCH(B18,'Pila de Producto (Backlog)'!$C$4:$C$20,0))</f>
        <v>Como Administrador (Don Ludo), quiero marcar como pagado o editar el jornal de un trabajador con recálculo matemático inmediato de la planilla en el DOM, para pagar al personal en efectivo con rapidez.</v>
      </c>
      <c r="D18" s="36" t="s">
        <v>33</v>
      </c>
      <c r="E18" s="21"/>
      <c r="F18" s="30" t="s">
        <v>35</v>
      </c>
      <c r="G18" s="23"/>
    </row>
    <row r="19" ht="46.5" customHeight="1">
      <c r="B19" s="30" t="s">
        <v>98</v>
      </c>
      <c r="C19" s="21" t="str">
        <f t="array" ref="C19">INDEX('Pila de Producto (Backlog)'!$D$4:$D$20,MATCH(B19,'Pila de Producto (Backlog)'!$C$4:$C$20,0))</f>
        <v>Como Administrador, quiero pagar el jornal atrasado a un trabajador pulsando 'Pagar Jornal' con liquidación asincrónica instantánea, para saldar deudas de noches pasadas sin recargar la página.</v>
      </c>
      <c r="D19" s="36" t="s">
        <v>33</v>
      </c>
      <c r="E19" s="21"/>
      <c r="F19" s="30" t="s">
        <v>35</v>
      </c>
      <c r="G19" s="23"/>
    </row>
    <row r="20" ht="21.75" customHeight="1">
      <c r="B20" s="10" t="str">
        <f>"Sprint 4 — Balance final, arqueo y dashboard  ·  "&amp;'Plan de Sprints'!E7&amp;" puntos de historia"</f>
        <v>Sprint 4 — Balance final, arqueo y dashboard  ·  20 puntos de historia</v>
      </c>
      <c r="C20" s="11"/>
      <c r="D20" s="11"/>
      <c r="E20" s="11"/>
      <c r="F20" s="11"/>
      <c r="G20" s="12"/>
    </row>
    <row r="21" ht="46.5" customHeight="1">
      <c r="B21" s="39" t="s">
        <v>104</v>
      </c>
      <c r="C21" s="27" t="str">
        <f t="array" ref="C21">INDEX('Pila de Producto (Backlog)'!$D$4:$D$20,MATCH(B21,'Pila de Producto (Backlog)'!$C$4:$C$20,0))</f>
        <v>Como Administrador (Don Ludo), quiero visualizar en una sola pantalla sin scroll el balance total de ingresos (tarjetas, QRs, efectivo) frente a egresos (pagos y gastos), para hacer el arqueo en 10 segundos.</v>
      </c>
      <c r="D21" s="40" t="s">
        <v>33</v>
      </c>
      <c r="E21" s="27"/>
      <c r="F21" s="39" t="s">
        <v>35</v>
      </c>
      <c r="G21" s="28"/>
    </row>
    <row r="22" ht="46.5" customHeight="1">
      <c r="B22" s="39" t="s">
        <v>108</v>
      </c>
      <c r="C22" s="27" t="str">
        <f t="array" ref="C22">INDEX('Pila de Producto (Backlog)'!$D$4:$D$20,MATCH(B22,'Pila de Producto (Backlog)'!$C$4:$C$20,0))</f>
        <v>Como Administrador, quiero que el sistema calcule exactamente el dinero físico neto que debe haber en la caja fuerte o mano (Plata a Favor o Faltante), para comprobar el dinero antes de retirarme.</v>
      </c>
      <c r="D22" s="40" t="s">
        <v>33</v>
      </c>
      <c r="E22" s="27"/>
      <c r="F22" s="39" t="s">
        <v>35</v>
      </c>
      <c r="G22" s="28"/>
    </row>
    <row r="23" ht="60.0" customHeight="1">
      <c r="B23" s="39" t="s">
        <v>112</v>
      </c>
      <c r="C23" s="27" t="str">
        <f t="array" ref="C23">INDEX('Pila de Producto (Backlog)'!$D$4:$D$20,MATCH(B23,'Pila de Producto (Backlog)'!$C$4:$C$20,0))</f>
        <v>Como Administrador (Don Ludo), quiero consultar un Dashboard con los 4 indicadores esenciales (Venta en Barras, Tarjetas Neto Banco, Cobros QR y Efectivo en Caja) alimentados 100% por datos reales, para conocer la marcha del negocio de un vistazo.</v>
      </c>
      <c r="D23" s="40" t="s">
        <v>33</v>
      </c>
      <c r="E23" s="27"/>
      <c r="F23" s="39" t="s">
        <v>35</v>
      </c>
      <c r="G23" s="28"/>
    </row>
    <row r="24" ht="46.5" customHeight="1">
      <c r="B24" s="39" t="s">
        <v>117</v>
      </c>
      <c r="C24" s="27" t="str">
        <f t="array" ref="C24">INDEX('Pila de Producto (Backlog)'!$D$4:$D$20,MATCH(B24,'Pila de Producto (Backlog)'!$C$4:$C$20,0))</f>
        <v>Como Administrador (Don Ludo), quiero sellar la noche con un botón de cierre seguro que bloquee ediciones accidentales, con facultad de reabrirla si se requiere corregir algún dato.</v>
      </c>
      <c r="D24" s="40" t="s">
        <v>33</v>
      </c>
      <c r="E24" s="27"/>
      <c r="F24" s="39" t="s">
        <v>35</v>
      </c>
      <c r="G24" s="28"/>
    </row>
    <row r="25" ht="46.5" customHeight="1">
      <c r="B25" s="39" t="s">
        <v>121</v>
      </c>
      <c r="C25" s="27" t="str">
        <f t="array" ref="C25">INDEX('Pila de Producto (Backlog)'!$D$4:$D$20,MATCH(B25,'Pila de Producto (Backlog)'!$C$4:$C$20,0))</f>
        <v>Como Administrador de Bodega, quiero alternar entre una vista de Tabla Ejecutiva y una Cuadrícula de Tarjetas táctiles, para agilizar tanto el conteo rápido de más de 30 marcas como la auditoría visual.</v>
      </c>
      <c r="D25" s="40" t="s">
        <v>33</v>
      </c>
      <c r="E25" s="27"/>
      <c r="F25" s="39" t="s">
        <v>35</v>
      </c>
      <c r="G25" s="2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G1"/>
    <mergeCell ref="B2:G2"/>
    <mergeCell ref="B5:G5"/>
    <mergeCell ref="B10:G10"/>
    <mergeCell ref="B15:G15"/>
    <mergeCell ref="B20:G20"/>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2026-10-18T13:53:28Z</dcterms:created>
  <dc:creator>openpyxl</dc:creator>
</cp:coreProperties>
</file>

<file path=docProps/custom.xml><?xml version="1.0" encoding="utf-8"?>
<Properties xmlns="http://schemas.openxmlformats.org/officeDocument/2006/custom-properties" xmlns:vt="http://schemas.openxmlformats.org/officeDocument/2006/docPropsVTypes"/>
</file>